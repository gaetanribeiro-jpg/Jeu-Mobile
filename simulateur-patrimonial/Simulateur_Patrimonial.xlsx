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lient" sheetId="2" state="visible" r:id="rId4"/>
    <sheet name="Patrimoine" sheetId="3" state="visible" r:id="rId5"/>
    <sheet name="Devolution" sheetId="4" state="visible" r:id="rId6"/>
    <sheet name="Droits_Succession" sheetId="5" state="visible" r:id="rId7"/>
    <sheet name="Assurance_Vie" sheetId="6" state="visible" r:id="rId8"/>
    <sheet name="Retraite_Carriere" sheetId="7" state="visible" r:id="rId9"/>
    <sheet name="Retraite_Estimation" sheetId="8" state="visible" r:id="rId10"/>
    <sheet name="Retraite_Objectif" sheetId="9" state="visible" r:id="rId11"/>
    <sheet name="Synthese" sheetId="10" state="visible" r:id="rId12"/>
    <sheet name="Parametres" sheetId="11" state="visible" r:id="rId13"/>
  </sheets>
  <definedNames>
    <definedName function="false" hidden="false" name="AbatAVDisponibles" vbProcedure="false">Synthese!$C$50</definedName>
    <definedName function="false" hidden="false" name="AbatCat" vbProcedure="false">Parametres!$D$7:$D$18</definedName>
    <definedName function="false" hidden="false" name="AbatHandicap" vbProcedure="false">Parametres!$C$50</definedName>
    <definedName function="false" hidden="false" name="AbatLien" vbProcedure="false">Parametres!$B$7:$B$18</definedName>
    <definedName function="false" hidden="false" name="AbatMontant" vbProcedure="false">Parametres!$C$7:$C$18</definedName>
    <definedName function="false" hidden="false" name="AbatRP" vbProcedure="false">Parametres!$C$51</definedName>
    <definedName function="false" hidden="false" name="AbatRPMontant" vbProcedure="false">Patrimoine!$D$53</definedName>
    <definedName function="false" hidden="false" name="AbatSuccDisponibles" vbProcedure="false">Synthese!$C$49</definedName>
    <definedName function="false" hidden="false" name="ActCategorie" vbProcedure="false">Patrimoine!$B$13:$B$30</definedName>
    <definedName function="false" hidden="false" name="ActDetention" vbProcedure="false">Patrimoine!$E$13:$E$30</definedName>
    <definedName function="false" hidden="false" name="ActifNetFoyer" vbProcedure="false">Patrimoine!$H$31</definedName>
    <definedName function="false" hidden="false" name="ActifSuccBrut" vbProcedure="false">Patrimoine!$J$31</definedName>
    <definedName function="false" hidden="false" name="ActifSuccBrutRef" vbProcedure="false">Patrimoine!$D$48</definedName>
    <definedName function="false" hidden="false" name="ActPartSucc" vbProcedure="false">Patrimoine!$J$13:$J$30</definedName>
    <definedName function="false" hidden="false" name="ActValeurNette" vbProcedure="false">Patrimoine!$H$13:$H$30</definedName>
    <definedName function="false" hidden="false" name="AgeClient" vbProcedure="false">Client!$C$15</definedName>
    <definedName function="false" hidden="false" name="AgeConjoint" vbProcedure="false">Client!$D$15</definedName>
    <definedName function="false" hidden="false" name="AgeUsufruitier" vbProcedure="false">Patrimoine!$C$8</definedName>
    <definedName function="false" hidden="false" name="ArrcoAchat" vbProcedure="false">Parametres!$C$136</definedName>
    <definedName function="false" hidden="false" name="ArrcoCoefOn" vbProcedure="false">Parametres!$C$142</definedName>
    <definedName function="false" hidden="false" name="ArrcoMajFam" vbProcedure="false">Parametres!$C$140</definedName>
    <definedName function="false" hidden="false" name="ArrcoMajPlafond" vbProcedure="false">Parametres!$C$141</definedName>
    <definedName function="false" hidden="false" name="ArrcoService" vbProcedure="false">Parametres!$C$137</definedName>
    <definedName function="false" hidden="false" name="ArrcoT1" vbProcedure="false">Parametres!$C$138</definedName>
    <definedName function="false" hidden="false" name="ArrcoT2" vbProcedure="false">Parametres!$C$139</definedName>
    <definedName function="false" hidden="false" name="AV_Abat757" vbProcedure="false">Parametres!$C$62</definedName>
    <definedName function="false" hidden="false" name="AV_Abat990" vbProcedure="false">Parametres!$C$58</definedName>
    <definedName function="false" hidden="false" name="AV_AbatAnnuel" vbProcedure="false">Parametres!$C$168</definedName>
    <definedName function="false" hidden="false" name="AV_AbatUtilise" vbProcedure="false">Assurance_Vie!$F$37:$F$44</definedName>
    <definedName function="false" hidden="false" name="AV_BenefNom" vbProcedure="false">Assurance_Vie!$B$37:$B$44</definedName>
    <definedName function="false" hidden="false" name="AV_CapitalTotal" vbProcedure="false">Assurance_Vie!$F$31</definedName>
    <definedName function="false" hidden="false" name="AV_Exonere" vbProcedure="false">Assurance_Vie!$D$37:$D$44</definedName>
    <definedName function="false" hidden="false" name="AV_Prelevement990" vbProcedure="false">Assurance_Vie!$H$45</definedName>
    <definedName function="false" hidden="false" name="AV_Primes70PlusTransmises" vbProcedure="false">Assurance_Vie!$H$31</definedName>
    <definedName function="false" hidden="false" name="AV_Seuil20" vbProcedure="false">Parametres!$C$59</definedName>
    <definedName function="false" hidden="false" name="AV_Taux1" vbProcedure="false">Parametres!$C$60</definedName>
    <definedName function="false" hidden="false" name="AV_Taux2" vbProcedure="false">Parametres!$C$61</definedName>
    <definedName function="false" hidden="false" name="AV_Taux8ans" vbProcedure="false">Parametres!$C$167</definedName>
    <definedName function="false" hidden="false" name="AV_Taxable757" vbProcedure="false">Assurance_Vie!$K$37:$K$44</definedName>
    <definedName function="false" hidden="false" name="AV_TotalPrimes70Plus" vbProcedure="false">Assurance_Vie!$H$12</definedName>
    <definedName function="false" hidden="false" name="AV_ValeurRachat" vbProcedure="false">Assurance_Vie!$E$12</definedName>
    <definedName function="false" hidden="false" name="BarCat" vbProcedure="false">Parametres!$B$22:$B$33</definedName>
    <definedName function="false" hidden="false" name="BarPrev" vbProcedure="false">Parametres!$E$22:$E$33</definedName>
    <definedName function="false" hidden="false" name="BarSeuil" vbProcedure="false">Parametres!$C$22:$C$33</definedName>
    <definedName function="false" hidden="false" name="BarTaux" vbProcedure="false">Parametres!$D$22:$D$33</definedName>
    <definedName function="false" hidden="false" name="ClauseBenef" vbProcedure="false">Assurance_Vie!$C$17:$C$30</definedName>
    <definedName function="false" hidden="false" name="ClauseCap70Moins" vbProcedure="false">Assurance_Vie!$G$17:$G$30</definedName>
    <definedName function="false" hidden="false" name="ClauseCapital" vbProcedure="false">Assurance_Vie!$F$17:$F$30</definedName>
    <definedName function="false" hidden="false" name="ClauseContrat" vbProcedure="false">Assurance_Vie!$B$17:$B$30</definedName>
    <definedName function="false" hidden="false" name="ClausePct" vbProcedure="false">Assurance_Vie!$E$17:$E$30</definedName>
    <definedName function="false" hidden="false" name="ClausePrimes70Plus" vbProcedure="false">Assurance_Vie!$H$17:$H$30</definedName>
    <definedName function="false" hidden="false" name="CmpOptionA" vbProcedure="false">Droits_Succession!$E$52</definedName>
    <definedName function="false" hidden="false" name="CmpOptionB" vbProcedure="false">Droits_Succession!$G$52</definedName>
    <definedName function="false" hidden="false" name="CmpOptionC" vbProcedure="false">Droits_Succession!$I$52</definedName>
    <definedName function="false" hidden="false" name="CoefFiscal" vbProcedure="false">Patrimoine!$D$55</definedName>
    <definedName function="false" hidden="false" name="CoefSAM" vbProcedure="false">Parametres!$C$159</definedName>
    <definedName function="false" hidden="false" name="ConjEffectif" vbProcedure="false">Devolution!$C$20</definedName>
    <definedName function="false" hidden="false" name="ConjHeritier" vbProcedure="false">Devolution!$C$14</definedName>
    <definedName function="false" hidden="false" name="CoutTransmission" vbProcedure="false">Droits_Succession!$D$36</definedName>
    <definedName function="false" hidden="false" name="CtrCap70Moins" vbProcedure="false">Assurance_Vie!$J$6:$J$11</definedName>
    <definedName function="false" hidden="false" name="CtrCapitalDeces" vbProcedure="false">Assurance_Vie!$F$6:$F$11</definedName>
    <definedName function="false" hidden="false" name="CtrDenoue" vbProcedure="false">Assurance_Vie!$L$6:$L$11</definedName>
    <definedName function="false" hidden="false" name="CtrNom" vbProcedure="false">Assurance_Vie!$B$6:$B$11</definedName>
    <definedName function="false" hidden="false" name="CtrPrimes70Plus" vbProcedure="false">Assurance_Vie!$H$6:$H$11</definedName>
    <definedName function="false" hidden="false" name="DateNaisClient" vbProcedure="false">Client!$C$14</definedName>
    <definedName function="false" hidden="false" name="DateNaisConjoint" vbProcedure="false">Client!$D$14</definedName>
    <definedName function="false" hidden="false" name="DateSimu" vbProcedure="false">Client!$C$5</definedName>
    <definedName function="false" hidden="false" name="DDV" vbProcedure="false">Client!$C$23</definedName>
    <definedName function="false" hidden="false" name="DecoteMax" vbProcedure="false">Parametres!$C$128</definedName>
    <definedName function="false" hidden="false" name="DecoteTrim" vbProcedure="false">Parametres!$C$127</definedName>
    <definedName function="false" hidden="false" name="Defunt" vbProcedure="false">Patrimoine!$C$5</definedName>
    <definedName function="false" hidden="false" name="DetteFoyer" vbProcedure="false">Patrimoine!$D$72</definedName>
    <definedName function="false" hidden="false" name="DetteImmoFoyer" vbProcedure="false">Patrimoine!$G$31</definedName>
    <definedName function="false" hidden="false" name="DonAbatConso" vbProcedure="false">Patrimoine!$H$59:$H$66</definedName>
    <definedName function="false" hidden="false" name="DonFamilial" vbProcedure="false">Parametres!$C$55</definedName>
    <definedName function="false" hidden="false" name="DonMontant" vbProcedure="false">Patrimoine!$F$59:$F$66</definedName>
    <definedName function="false" hidden="false" name="DonNom" vbProcedure="false">Patrimoine!$B$59:$B$66</definedName>
    <definedName function="false" hidden="false" name="DrAbatNet" vbProcedure="false">Droits_Succession!$K$11:$K$30</definedName>
    <definedName function="false" hidden="false" name="DrBaseAvantAbat" vbProcedure="false">Droits_Succession!$G$11:$G$30</definedName>
    <definedName function="false" hidden="false" name="DrDroits" vbProcedure="false">Droits_Succession!$N$11:$N$30</definedName>
    <definedName function="false" hidden="false" name="DrNom" vbProcedure="false">Droits_Succession!$B$11:$B$30</definedName>
    <definedName function="false" hidden="false" name="EnfAge" vbProcedure="false">Client!$D$28:$D$35</definedName>
    <definedName function="false" hidden="false" name="EnfFiliation" vbProcedure="false">Client!$E$28:$E$35</definedName>
    <definedName function="false" hidden="false" name="EnfHandicap" vbProcedure="false">Client!$G$28:$G$35</definedName>
    <definedName function="false" hidden="false" name="EnfNaiss" vbProcedure="false">Client!$C$28:$C$35</definedName>
    <definedName function="false" hidden="false" name="EnfPrenom" vbProcedure="false">Client!$B$28:$B$35</definedName>
    <definedName function="false" hidden="false" name="EnfVivant" vbProcedure="false">Client!$F$28:$F$35</definedName>
    <definedName function="false" hidden="false" name="EsperanceVie" vbProcedure="false">Parametres!$C$157</definedName>
    <definedName function="false" hidden="false" name="ForfaitMobilier" vbProcedure="false">Parametres!$C$52</definedName>
    <definedName function="false" hidden="false" name="ForfaitMobilierMontant" vbProcedure="false">Patrimoine!$D$49</definedName>
    <definedName function="false" hidden="false" name="ForfaitMobilierOn" vbProcedure="false">Patrimoine!$C$46</definedName>
    <definedName function="false" hidden="false" name="FraisFuneraires" vbProcedure="false">Parametres!$C$53</definedName>
    <definedName function="false" hidden="false" name="GenAgeLegal" vbProcedure="false">Parametres!$C$77:$C$122</definedName>
    <definedName function="false" hidden="false" name="GenAgeTP" vbProcedure="false">Parametres!$E$77:$E$122</definedName>
    <definedName function="false" hidden="false" name="GenAnnee" vbProcedure="false">Parametres!$B$77:$B$122</definedName>
    <definedName function="false" hidden="false" name="GenDuree" vbProcedure="false">Parametres!$D$77:$D$122</definedName>
    <definedName function="false" hidden="false" name="HerHandicap" vbProcedure="false">Devolution!$L$49:$L$68</definedName>
    <definedName function="false" hidden="false" name="HerLien" vbProcedure="false">Devolution!$C$49:$C$68</definedName>
    <definedName function="false" hidden="false" name="HerNom" vbProcedure="false">Devolution!$B$49:$B$68</definedName>
    <definedName function="false" hidden="false" name="HerPresent" vbProcedure="false">Devolution!$D$49:$D$68</definedName>
    <definedName function="false" hidden="false" name="HerValeur" vbProcedure="false">Devolution!$K$49:$K$68</definedName>
    <definedName function="false" hidden="false" name="Inflation" vbProcedure="false">Parametres!$C$153</definedName>
    <definedName function="false" hidden="false" name="IR_Estime" vbProcedure="false">Client!$C$64</definedName>
    <definedName function="false" hidden="false" name="IR_Prev" vbProcedure="false">Parametres!$D$67:$D$71</definedName>
    <definedName function="false" hidden="false" name="IR_Seuil" vbProcedure="false">Parametres!$B$67:$B$71</definedName>
    <definedName function="false" hidden="false" name="IR_Taux" vbProcedure="false">Parametres!$C$67:$C$71</definedName>
    <definedName function="false" hidden="false" name="LegsBenef" vbProcedure="false">Devolution!$B$39:$B$42</definedName>
    <definedName function="false" hidden="false" name="LegsLien" vbProcedure="false">Devolution!$C$39:$C$42</definedName>
    <definedName function="false" hidden="false" name="LegsMontant" vbProcedure="false">Devolution!$D$39:$D$42</definedName>
    <definedName function="false" hidden="false" name="LiquiditesSucc" vbProcedure="false">Synthese!$C$51</definedName>
    <definedName function="false" hidden="false" name="MajEnfants" vbProcedure="false">Parametres!$C$133</definedName>
    <definedName function="false" hidden="false" name="MasseCivile" vbProcedure="false">Patrimoine!$D$52</definedName>
    <definedName function="false" hidden="false" name="MasseDevolution" vbProcedure="false">Devolution!$D$45</definedName>
    <definedName function="false" hidden="false" name="MasseFiscale" vbProcedure="false">Patrimoine!$D$54</definedName>
    <definedName function="false" hidden="false" name="NbAnneesSAM" vbProcedure="false">Parametres!$C$132</definedName>
    <definedName function="false" hidden="false" name="NbEnfClient" vbProcedure="false">Client!$C$40</definedName>
    <definedName function="false" hidden="false" name="NbEnfCommuns" vbProcedure="false">Client!$C$37</definedName>
    <definedName function="false" hidden="false" name="NbEnfConjoint" vbProcedure="false">Client!$C$41</definedName>
    <definedName function="false" hidden="false" name="NbEnfDefunt" vbProcedure="false">Devolution!$C$9</definedName>
    <definedName function="false" hidden="false" name="NbEnfNonCommuns" vbProcedure="false">Devolution!$C$10</definedName>
    <definedName function="false" hidden="false" name="NbEnfPropClient" vbProcedure="false">Client!$C$38</definedName>
    <definedName function="false" hidden="false" name="NbEnfPropConjoint" vbProcedure="false">Client!$C$39</definedName>
    <definedName function="false" hidden="false" name="NbFreresClient" vbProcedure="false">Client!$C$48</definedName>
    <definedName function="false" hidden="false" name="NbFreresConjoint" vbProcedure="false">Client!$D$48</definedName>
    <definedName function="false" hidden="false" name="NbFreresDefunt" vbProcedure="false">Devolution!$C$12</definedName>
    <definedName function="false" hidden="false" name="NbNeveuxClient" vbProcedure="false">Client!$C$49</definedName>
    <definedName function="false" hidden="false" name="NbNeveuxConjoint" vbProcedure="false">Client!$D$49</definedName>
    <definedName function="false" hidden="false" name="NbParentsClient" vbProcedure="false">Client!$C$47</definedName>
    <definedName function="false" hidden="false" name="NbParentsConjoint" vbProcedure="false">Client!$D$47</definedName>
    <definedName function="false" hidden="false" name="NbParentsDefunt" vbProcedure="false">Devolution!$C$11</definedName>
    <definedName function="false" hidden="false" name="NomClient" vbProcedure="false">Client!$C$16</definedName>
    <definedName function="false" hidden="false" name="NomConjoint" vbProcedure="false">Client!$D$16</definedName>
    <definedName function="false" hidden="false" name="NomDefunt" vbProcedure="false">Patrimoine!$C$6</definedName>
    <definedName function="false" hidden="false" name="NomSurvivant" vbProcedure="false">Patrimoine!$C$7</definedName>
    <definedName function="false" hidden="false" name="Ob_AnneesRestantes" vbProcedure="false">Retraite_Objectif!$C$29</definedName>
    <definedName function="false" hidden="false" name="Ob_AutresRevenus" vbProcedure="false">Retraite_Objectif!$C$12</definedName>
    <definedName function="false" hidden="false" name="Ob_CapitalManquant" vbProcedure="false">Retraite_Objectif!$C$34</definedName>
    <definedName function="false" hidden="false" name="Ob_CapitalNecessaire" vbProcedure="false">Retraite_Objectif!$C$24</definedName>
    <definedName function="false" hidden="false" name="Ob_CapitalProjete" vbProcedure="false">Retraite_Objectif!$C$33</definedName>
    <definedName function="false" hidden="false" name="Ob_DureeRestit" vbProcedure="false">Retraite_Objectif!$C$22</definedName>
    <definedName function="false" hidden="false" name="Ob_EcartAn" vbProcedure="false">Retraite_Objectif!$C$15</definedName>
    <definedName function="false" hidden="false" name="Ob_EcartMens" vbProcedure="false">Retraite_Objectif!$C$14</definedName>
    <definedName function="false" hidden="false" name="Ob_EffortAnnuel" vbProcedure="false">Retraite_Objectif!$C$38</definedName>
    <definedName function="false" hidden="false" name="Ob_EffortMensuel" vbProcedure="false">Retraite_Objectif!$C$37</definedName>
    <definedName function="false" hidden="false" name="Ob_EpargneActuelle" vbProcedure="false">Retraite_Objectif!$C$27</definedName>
    <definedName function="false" hidden="false" name="Ob_Methode" vbProcedure="false">Retraite_Objectif!$C$19</definedName>
    <definedName function="false" hidden="false" name="Ob_Mode" vbProcedure="false">Retraite_Objectif!$C$5</definedName>
    <definedName function="false" hidden="false" name="Ob_MoisRestants" vbProcedure="false">Retraite_Objectif!$C$30</definedName>
    <definedName function="false" hidden="false" name="Ob_Montant" vbProcedure="false">Retraite_Objectif!$C$6</definedName>
    <definedName function="false" hidden="false" name="Ob_Objectif" vbProcedure="false">Retraite_Objectif!$C$8</definedName>
    <definedName function="false" hidden="false" name="Ob_Pct" vbProcedure="false">Retraite_Objectif!$C$7</definedName>
    <definedName function="false" hidden="false" name="Ob_PlafondPER" vbProcedure="false">Retraite_Objectif!$C$45</definedName>
    <definedName function="false" hidden="false" name="Ob_Ressources" vbProcedure="false">Retraite_Objectif!$C$13</definedName>
    <definedName function="false" hidden="false" name="Ob_TauxMensuel" vbProcedure="false">Retraite_Objectif!$C$32</definedName>
    <definedName function="false" hidden="false" name="Ob_TauxReelConstit" vbProcedure="false">Retraite_Objectif!$C$31</definedName>
    <definedName function="false" hidden="false" name="Ob_TauxReelRestit" vbProcedure="false">Retraite_Objectif!$C$23</definedName>
    <definedName function="false" hidden="false" name="Ob_VersementsActuels" vbProcedure="false">Retraite_Objectif!$C$28</definedName>
    <definedName function="false" hidden="false" name="OccupationRP" vbProcedure="false">Patrimoine!$C$45</definedName>
    <definedName function="false" hidden="false" name="OptionConjoint" vbProcedure="false">Devolution!$C$19</definedName>
    <definedName function="false" hidden="false" name="PartsFiscales" vbProcedure="false">Client!$C$61</definedName>
    <definedName function="false" hidden="false" name="PASS" vbProcedure="false">Parametres!$C$130</definedName>
    <definedName function="false" hidden="false" name="PassifDiversDefunt" vbProcedure="false">Patrimoine!$J$42</definedName>
    <definedName function="false" hidden="false" name="PassifDiversFoyer" vbProcedure="false">Patrimoine!$D$42</definedName>
    <definedName function="false" hidden="false" name="PASS_N1" vbProcedure="false">Parametres!$C$131</definedName>
    <definedName function="false" hidden="false" name="PatAV" vbProcedure="false">Patrimoine!$D$74</definedName>
    <definedName function="false" hidden="false" name="PatBrutFoyer" vbProcedure="false">Patrimoine!$D$71</definedName>
    <definedName function="false" hidden="false" name="PatNetHorsAV" vbProcedure="false">Patrimoine!$D$73</definedName>
    <definedName function="false" hidden="false" name="PatrimoineNetGlobal" vbProcedure="false">Patrimoine!$D$75</definedName>
    <definedName function="false" hidden="false" name="PatrimoineTransmis" vbProcedure="false">Droits_Succession!$D$37</definedName>
    <definedName function="false" hidden="false" name="PER_PlafondPASS" vbProcedure="false">Parametres!$C$163</definedName>
    <definedName function="false" hidden="false" name="PER_PlancherPASS" vbProcedure="false">Parametres!$C$164</definedName>
    <definedName function="false" hidden="false" name="PER_Taux" vbProcedure="false">Parametres!$C$162</definedName>
    <definedName function="false" hidden="false" name="PFU" vbProcedure="false">Parametres!$C$165</definedName>
    <definedName function="false" hidden="false" name="ProgSalaire" vbProcedure="false">Parametres!$C$156</definedName>
    <definedName function="false" hidden="false" name="PS_Base" vbProcedure="false">Parametres!$C$149</definedName>
    <definedName function="false" hidden="false" name="PS_CASA" vbProcedure="false">Parametres!$C$147</definedName>
    <definedName function="false" hidden="false" name="PS_Comp" vbProcedure="false">Parametres!$C$150</definedName>
    <definedName function="false" hidden="false" name="PS_CRDS" vbProcedure="false">Parametres!$C$146</definedName>
    <definedName function="false" hidden="false" name="PS_CSG" vbProcedure="false">Parametres!$C$145</definedName>
    <definedName function="false" hidden="false" name="PS_Maladie" vbProcedure="false">Parametres!$C$148</definedName>
    <definedName function="false" hidden="false" name="PS_Placement" vbProcedure="false">Parametres!$C$166</definedName>
    <definedName function="false" hidden="false" name="QD" vbProcedure="false">Devolution!$C$24</definedName>
    <definedName function="false" hidden="false" name="QuotientFamilial" vbProcedure="false">Client!$C$63</definedName>
    <definedName function="false" hidden="false" name="Q_Autres" vbProcedure="false">Devolution!$C$33</definedName>
    <definedName function="false" hidden="false" name="Q_ConjPP" vbProcedure="false">Devolution!$C$27</definedName>
    <definedName function="false" hidden="false" name="Q_ConjUS" vbProcedure="false">Devolution!$C$28</definedName>
    <definedName function="false" hidden="false" name="Q_EnfNP" vbProcedure="false">Devolution!$C$30</definedName>
    <definedName function="false" hidden="false" name="Q_EnfPP" vbProcedure="false">Devolution!$C$29</definedName>
    <definedName function="false" hidden="false" name="Q_Freres" vbProcedure="false">Devolution!$C$32</definedName>
    <definedName function="false" hidden="false" name="Q_Parents" vbProcedure="false">Devolution!$C$31</definedName>
    <definedName function="false" hidden="false" name="RappelDonations" vbProcedure="false">Parametres!$C$54</definedName>
    <definedName function="false" hidden="false" name="RegimeMat" vbProcedure="false">Client!$C$21</definedName>
    <definedName function="false" hidden="false" name="RendConstit" vbProcedure="false">Parametres!$C$154</definedName>
    <definedName function="false" hidden="false" name="RendRestit" vbProcedure="false">Parametres!$C$155</definedName>
    <definedName function="false" hidden="false" name="Reserve" vbProcedure="false">Devolution!$C$23</definedName>
    <definedName function="false" hidden="false" name="RevBrutClient" vbProcedure="false">Client!$C$56</definedName>
    <definedName function="false" hidden="false" name="RevBrutConjoint" vbProcedure="false">Client!$D$56</definedName>
    <definedName function="false" hidden="false" name="RevNetMensClient" vbProcedure="false">Client!$C$58</definedName>
    <definedName function="false" hidden="false" name="RevNetMensConjoint" vbProcedure="false">Client!$D$58</definedName>
    <definedName function="false" hidden="false" name="RNI_Client" vbProcedure="false">Client!$C$57</definedName>
    <definedName function="false" hidden="false" name="RNI_Conjoint" vbProcedure="false">Client!$D$57</definedName>
    <definedName function="false" hidden="false" name="RNI_Foyer" vbProcedure="false">Client!$C$62</definedName>
    <definedName function="false" hidden="false" name="Rt_AgeActuel" vbProcedure="false">Retraite_Carriere!$C$9</definedName>
    <definedName function="false" hidden="false" name="Rt_AgeDepart" vbProcedure="false">Retraite_Carriere!$C$30</definedName>
    <definedName function="false" hidden="false" name="Rt_AgeLegal" vbProcedure="false">Retraite_Carriere!$D$18</definedName>
    <definedName function="false" hidden="false" name="Rt_AgeReleve" vbProcedure="false">Retraite_Carriere!$C$26</definedName>
    <definedName function="false" hidden="false" name="Rt_AgeTauxPlein" vbProcedure="false">Retraite_Carriere!$C$29</definedName>
    <definedName function="false" hidden="false" name="Rt_AgeTP" vbProcedure="false">Retraite_Carriere!$D$20</definedName>
    <definedName function="false" hidden="false" name="Rt_AnneeNais" vbProcedure="false">Retraite_Carriere!$C$8</definedName>
    <definedName function="false" hidden="false" name="Rt_AnneeReleve" vbProcedure="false">Retraite_Carriere!$C$25</definedName>
    <definedName function="false" hidden="false" name="Rt_DateNais" vbProcedure="false">Retraite_Carriere!$C$7</definedName>
    <definedName function="false" hidden="false" name="Rt_DureeRequise" vbProcedure="false">Retraite_Carriere!$D$19</definedName>
    <definedName function="false" hidden="false" name="Rt_ModeSAM" vbProcedure="false">Retraite_Carriere!$C$33</definedName>
    <definedName function="false" hidden="false" name="Rt_NbEnfants" vbProcedure="false">Retraite_Carriere!$C$13</definedName>
    <definedName function="false" hidden="false" name="Rt_Nom" vbProcedure="false">Retraite_Carriere!$C$6</definedName>
    <definedName function="false" hidden="false" name="Rt_PensionBruteMens" vbProcedure="false">Retraite_Estimation!$J$31</definedName>
    <definedName function="false" hidden="false" name="Rt_PensionNetteAn" vbProcedure="false">Retraite_Estimation!$J$33</definedName>
    <definedName function="false" hidden="false" name="Rt_PensionNetteMens" vbProcedure="false">Retraite_Estimation!$J$34</definedName>
    <definedName function="false" hidden="false" name="Rt_Personne" vbProcedure="false">Retraite_Carriere!$C$5</definedName>
    <definedName function="false" hidden="false" name="Rt_PointsAnnuels" vbProcedure="false">Retraite_Carriere!$C$39</definedName>
    <definedName function="false" hidden="false" name="Rt_PointsReleve" vbProcedure="false">Retraite_Carriere!$C$38</definedName>
    <definedName function="false" hidden="false" name="Rt_RevNetMens" vbProcedure="false">Retraite_Carriere!$C$12</definedName>
    <definedName function="false" hidden="false" name="Rt_SalaireBrut" vbProcedure="false">Retraite_Carriere!$C$11</definedName>
    <definedName function="false" hidden="false" name="Rt_SAM" vbProcedure="false">Retraite_Carriere!$C$36</definedName>
    <definedName function="false" hidden="false" name="Rt_SAM_Auto" vbProcedure="false">Retraite_Carriere!$C$35</definedName>
    <definedName function="false" hidden="false" name="Rt_SAM_Saisi" vbProcedure="false">Retraite_Carriere!$C$34</definedName>
    <definedName function="false" hidden="false" name="Rt_ScenAges" vbProcedure="false">Retraite_Estimation!$D$8:$I$8</definedName>
    <definedName function="false" hidden="false" name="Rt_ScenPensionNetteMens" vbProcedure="false">Retraite_Estimation!$D$34:$I$34</definedName>
    <definedName function="false" hidden="false" name="Rt_Statut" vbProcedure="false">Retraite_Carriere!$C$10</definedName>
    <definedName function="false" hidden="false" name="Rt_TauxRemplacement" vbProcedure="false">Retraite_Estimation!$J$36</definedName>
    <definedName function="false" hidden="false" name="Rt_TrimMajo" vbProcedure="false">Retraite_Carriere!$C$27</definedName>
    <definedName function="false" hidden="false" name="Rt_TrimReleve" vbProcedure="false">Retraite_Carriere!$C$24</definedName>
    <definedName function="false" hidden="false" name="Rt_TrimTotalReleve" vbProcedure="false">Retraite_Carriere!$C$28</definedName>
    <definedName function="false" hidden="false" name="SitMat" vbProcedure="false">Client!$C$20</definedName>
    <definedName function="false" hidden="false" name="StatutClient" vbProcedure="false">Client!$C$53</definedName>
    <definedName function="false" hidden="false" name="StatutConjoint" vbProcedure="false">Client!$D$53</definedName>
    <definedName function="false" hidden="false" name="SurcoteTrim" vbProcedure="false">Parametres!$C$129</definedName>
    <definedName function="false" hidden="false" name="TauxFrottement" vbProcedure="false">Droits_Succession!$D$38</definedName>
    <definedName function="false" hidden="false" name="TauxPlein" vbProcedure="false">Parametres!$C$126</definedName>
    <definedName function="false" hidden="false" name="TauxRente" vbProcedure="false">Parametres!$C$158</definedName>
    <definedName function="false" hidden="false" name="TauxUsufruit" vbProcedure="false">Patrimoine!$C$9</definedName>
    <definedName function="false" hidden="false" name="Testament" vbProcedure="false">Client!$C$24</definedName>
    <definedName function="false" hidden="false" name="TMI" vbProcedure="false">Client!$C$66</definedName>
    <definedName function="false" hidden="false" name="TotalDroits" vbProcedure="false">Droits_Succession!$N$31</definedName>
    <definedName function="false" hidden="false" name="TotalLegs" vbProcedure="false">Devolution!$D$43</definedName>
    <definedName function="false" hidden="false" name="UsuAgeMin" vbProcedure="false">Parametres!$B$38:$B$46</definedName>
    <definedName function="false" hidden="false" name="UsuNP" vbProcedure="false">Parametres!$E$38:$E$46</definedName>
    <definedName function="false" hidden="false" name="UsuUS" vbProcedure="false">Parametres!$D$38:$D$46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Laissez =AUJOURDHUI() pour une date glissante, ou saisissez une date fixe pour figer l'étude (les âges et le rappel fiscal des donations en dépendent).</t>
        </r>
      </text>
    </comment>
    <comment ref="C64" authorId="0">
      <text>
        <r>
          <rPr>
            <sz val="10"/>
            <rFont val="Arial"/>
            <family val="2"/>
          </rPr>
          <t xml:space="preserve">Barème progressif appliqué au quotient familial. Hors plafonnement du quotient, décote, réductions et crédits d'impôt : ordre de grandeur destiné au seul calcul de la TMI.</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Par défaut : l'âge actuel (décès simulé aujourd'hui). Remplacez par un âge projeté pour simuler un décès plus tardif — le barème de l'article 669 du CGI en dépend directement.</t>
        </r>
      </text>
    </comment>
    <comment ref="D55" authorId="0">
      <text>
        <r>
          <rPr>
            <sz val="10"/>
            <rFont val="Arial"/>
            <family val="2"/>
          </rPr>
          <t xml:space="preserve">L'abattement de 20 % sur la résidence principale réduit l'assiette fiscale sans modifier le partage civil. Ce coefficient applique la réduction au prorata sur la part de chaque héritier.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24" authorId="0">
      <text>
        <r>
          <rPr>
            <sz val="10"/>
            <rFont val="Arial"/>
            <family val="2"/>
          </rPr>
          <t xml:space="preserve">1 enfant : 1/2 — 2 enfants : 1/3 — 3 enfants et plus : 1/4. Sans descendant mais avec conjoint : réserve du conjoint de 1/4 (art. 914-1 C. civ.).</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27" authorId="0">
      <text>
        <r>
          <rPr>
            <sz val="10"/>
            <rFont val="Arial"/>
            <family val="2"/>
          </rPr>
          <t xml:space="preserve">À renseigner UNIQUEMENT si ces trimestres ne figurent pas déjà sur le relevé de carrière, pour éviter tout double compte. 8 trimestres par enfant pour la mère salariée du privé, dont 4 partageables au titre de l'éducation.</t>
        </r>
      </text>
    </comment>
    <comment ref="C39" authorId="0">
      <text>
        <r>
          <rPr>
            <sz val="10"/>
            <rFont val="Arial"/>
            <family val="2"/>
          </rPr>
          <t xml:space="preserve">Points = (assiette T1 × 6,20 % + assiette T2 × 17 %) / valeur d'achat du point. Le salaire est supposé stable en euros constants sur la période restante.</t>
        </r>
      </text>
    </comment>
    <comment ref="D18" authorId="0">
      <text>
        <r>
          <rPr>
            <sz val="10"/>
            <rFont val="Arial"/>
            <family val="2"/>
          </rPr>
          <t xml:space="preserve">Valeur reprise du calendrier. Écrasez-la si la réglementation applicable diffère ou si le client relève d'un dispositif particulier (carrière longue, incapacité, catégorie active).</t>
        </r>
      </text>
    </comment>
    <comment ref="D19" authorId="0">
      <text>
        <r>
          <rPr>
            <sz val="10"/>
            <rFont val="Arial"/>
            <family val="2"/>
          </rPr>
          <t xml:space="preserve">Valeur reprise du calendrier. Écrasez-la si la réglementation applicable diffère ou si le client relève d'un dispositif particulier (carrière longue, incapacité, catégorie active).</t>
        </r>
      </text>
    </comment>
    <comment ref="D20" authorId="0">
      <text>
        <r>
          <rPr>
            <sz val="10"/>
            <rFont val="Arial"/>
            <family val="2"/>
          </rPr>
          <t xml:space="preserve">Valeur reprise du calendrier. Écrasez-la si la réglementation applicable diffère ou si le client relève d'un dispositif particulier (carrière longue, incapacité, catégorie active).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45" authorId="0">
      <text>
        <r>
          <rPr>
            <sz val="10"/>
            <rFont val="Arial"/>
            <family val="2"/>
          </rPr>
          <t xml:space="preserve">10 % des revenus professionnels de l'année précédente, dans la limite de 8 PASS N-1, avec un plancher de 10 % du PASS N-1. Hors reliquats des trois années précédentes et hors mutualisation avec le conjoint.</t>
        </r>
      </text>
    </comment>
  </commentList>
</comments>
</file>

<file path=xl/sharedStrings.xml><?xml version="1.0" encoding="utf-8"?>
<sst xmlns="http://schemas.openxmlformats.org/spreadsheetml/2006/main" count="919" uniqueCount="748">
  <si>
    <t xml:space="preserve">SIMULATEUR PATRIMONIAL — SUCCESSION &amp; RETRAITE</t>
  </si>
  <si>
    <t xml:space="preserve">Classeur d'aide à l'entretien patrimonial. Livré pré-rempli avec un cas fictif d'illustration (famille MARTIN) : écrasez les données par celles de votre client.</t>
  </si>
  <si>
    <t xml:space="preserve">AVERTISSEMENT</t>
  </si>
  <si>
    <t xml:space="preserve">•</t>
  </si>
  <si>
    <t xml:space="preserve">Cet outil produit une ESTIMATION pédagogique destinée à préparer un entretien et à illustrer des ordres de grandeur. Il ne se substitue ni à une consultation notariale, ni au relevé officiel de carrière, ni à un conseil en investissement.</t>
  </si>
  <si>
    <t xml:space="preserve">Les barèmes sont arrêtés à la date de construction du classeur. VÉRIFIEZ-LES sur la feuille « Parametres » avant tout usage : ils sont revalorisés chaque année, et le calendrier de l'âge légal de départ à la retraite a fait l'objet de mesures de suspension discutées fin 2025.</t>
  </si>
  <si>
    <t xml:space="preserve">Les simplifications assumées du modèle sont listées en bas de chaque feuille et récapitulées ci-dessous. Lisez-les avant de présenter un chiffre à un client.</t>
  </si>
  <si>
    <t xml:space="preserve">Respectez la politique de votre établissement en matière de données clients : ce fichier contient des données personnelles et patrimoniales sensibles (RGPD).</t>
  </si>
  <si>
    <t xml:space="preserve">LÉGENDE DES COULEURS</t>
  </si>
  <si>
    <t xml:space="preserve">Saisie</t>
  </si>
  <si>
    <t xml:space="preserve">Cellule à remplir : c'est VOUS qui la renseignez.</t>
  </si>
  <si>
    <t xml:space="preserve">Calcul</t>
  </si>
  <si>
    <t xml:space="preserve">Formule interne à la feuille : ne la modifiez pas.</t>
  </si>
  <si>
    <t xml:space="preserve">Report</t>
  </si>
  <si>
    <t xml:space="preserve">Formule reprenant une autre feuille : ne la modifiez pas.</t>
  </si>
  <si>
    <t xml:space="preserve">Résultat</t>
  </si>
  <si>
    <t xml:space="preserve">Résultat clé de la feuille.</t>
  </si>
  <si>
    <t xml:space="preserve">⚠️ Alerte</t>
  </si>
  <si>
    <t xml:space="preserve">Contrôle de cohérence : lisez le message affiché.</t>
  </si>
  <si>
    <t xml:space="preserve">PLAN DU CLASSEUR</t>
  </si>
  <si>
    <t xml:space="preserve">Feuille</t>
  </si>
  <si>
    <t xml:space="preserve">À quoi elle sert</t>
  </si>
  <si>
    <t xml:space="preserve">Ce que VOUS saisissez</t>
  </si>
  <si>
    <t xml:space="preserve">Ce qui est calculé</t>
  </si>
  <si>
    <t xml:space="preserve">1. Client</t>
  </si>
  <si>
    <t xml:space="preserve">État civil, famille, profession, fiscalité du foyer.</t>
  </si>
  <si>
    <t xml:space="preserve">Identité, situation matrimoniale, enfants, ascendants, revenus, parts fiscales.</t>
  </si>
  <si>
    <t xml:space="preserve">Âges, nombre d'héritiers réservataires par branche, impôt sur le revenu et TMI.</t>
  </si>
  <si>
    <t xml:space="preserve">2. Patrimoine</t>
  </si>
  <si>
    <t xml:space="preserve">Inventaire des biens et détermination de la masse successorale.</t>
  </si>
  <si>
    <t xml:space="preserve">Simulation du décès (client ou conjoint), biens, mode de détention, dettes, donations antérieures.</t>
  </si>
  <si>
    <t xml:space="preserve">Liquidation du régime matrimonial, actif net successoral, assiette fiscale, abattement résidence principale, rappel fiscal des donations.</t>
  </si>
  <si>
    <t xml:space="preserve">3. Devolution</t>
  </si>
  <si>
    <t xml:space="preserve">Qui hérite, et pour quelle quote-part (Code civil).</t>
  </si>
  <si>
    <t xml:space="preserve">Option du conjoint survivant, legs éventuels.</t>
  </si>
  <si>
    <t xml:space="preserve">Cas de dévolution applicable, réserve et quotité disponible, quotes-parts en pleine propriété / usufruit / nue-propriété, valorisation au barème de l'art. 669 CGI.</t>
  </si>
  <si>
    <t xml:space="preserve">4. Droits_Succession</t>
  </si>
  <si>
    <t xml:space="preserve">Combien chaque héritier paie (CGI).</t>
  </si>
  <si>
    <t xml:space="preserve">Rien — sauf le lien de parenté des héritiers non standard.</t>
  </si>
  <si>
    <t xml:space="preserve">Abattements, base taxable, barème progressif, droits par héritier, coût total de la transmission et comparatif des trois options du conjoint.</t>
  </si>
  <si>
    <t xml:space="preserve">5. Assurance_Vie</t>
  </si>
  <si>
    <t xml:space="preserve">Capitaux décès et fiscalité propre à l'assurance-vie.</t>
  </si>
  <si>
    <t xml:space="preserve">Contrats, primes versées avant / après 70 ans, clauses bénéficiaires.</t>
  </si>
  <si>
    <t xml:space="preserve">Prélèvement de l'art. 990 I, base taxable de l'art. 757 B (reprise automatiquement dans les droits de succession du bénéficiaire).</t>
  </si>
  <si>
    <t xml:space="preserve">6. Retraite_Carriere</t>
  </si>
  <si>
    <t xml:space="preserve">La personne étudiée et sa carrière.</t>
  </si>
  <si>
    <t xml:space="preserve">Trimestres du relevé de carrière, points Agirc-Arrco, âge de départ envisagé, SAM.</t>
  </si>
  <si>
    <t xml:space="preserve">Âge légal et durée requise selon la génération, âge d'obtention du taux plein, points acquis par an.</t>
  </si>
  <si>
    <t xml:space="preserve">7. Retraite_Estimation</t>
  </si>
  <si>
    <t xml:space="preserve">Estimation de la pension pour 6 âges de départ + l'âge envisagé.</t>
  </si>
  <si>
    <t xml:space="preserve">Rien.</t>
  </si>
  <si>
    <t xml:space="preserve">Décote, surcote, taux de liquidation, proratisation, pension de base et complémentaire, pension nette et taux de remplacement.</t>
  </si>
  <si>
    <t xml:space="preserve">8. Retraite_Objectif</t>
  </si>
  <si>
    <t xml:space="preserve">Écart avec l'objectif du client et effort d'épargne à mettre en place.</t>
  </si>
  <si>
    <t xml:space="preserve">Objectif de revenu, autres revenus attendus, épargne déjà constituée et versements en cours.</t>
  </si>
  <si>
    <t xml:space="preserve">Capital nécessaire, capital projeté, effort mensuel, comparatif des enveloppes, sensibilité à l'âge de départ et au rendement.</t>
  </si>
  <si>
    <t xml:space="preserve">9. Synthese</t>
  </si>
  <si>
    <t xml:space="preserve">Restitution en une page pour l'entretien.</t>
  </si>
  <si>
    <t xml:space="preserve">Chiffres clés des deux volets et pistes de travail conditionnelles.</t>
  </si>
  <si>
    <t xml:space="preserve">10. Parametres</t>
  </si>
  <si>
    <t xml:space="preserve">Tous les barèmes, taux et hypothèses.</t>
  </si>
  <si>
    <t xml:space="preserve">Mise à jour annuelle des barèmes et choix des hypothèses financières.</t>
  </si>
  <si>
    <t xml:space="preserve">Rien — c'est la source de toutes les autres feuilles.</t>
  </si>
  <si>
    <t xml:space="preserve">ORDRE DE TRAVAIL RECOMMANDÉ</t>
  </si>
  <si>
    <t xml:space="preserve">Étape 1</t>
  </si>
  <si>
    <t xml:space="preserve">Vérifier les barèmes de la feuille « Parametres » (une fois par an suffit).</t>
  </si>
  <si>
    <t xml:space="preserve">Étape 2</t>
  </si>
  <si>
    <t xml:space="preserve">Remplir la feuille « Client » de haut en bas.</t>
  </si>
  <si>
    <t xml:space="preserve">Étape 3</t>
  </si>
  <si>
    <t xml:space="preserve">Inventorier le patrimoine et choisir qui décède en premier (feuille « Patrimoine »).</t>
  </si>
  <si>
    <t xml:space="preserve">Étape 4</t>
  </si>
  <si>
    <t xml:space="preserve">Saisir les contrats d'assurance-vie et leurs clauses bénéficiaires.</t>
  </si>
  <si>
    <t xml:space="preserve">Étape 5</t>
  </si>
  <si>
    <t xml:space="preserve">Lire la dévolution, puis faire varier l'option du conjoint pour montrer l'écart de droits.</t>
  </si>
  <si>
    <t xml:space="preserve">Étape 6</t>
  </si>
  <si>
    <t xml:space="preserve">Relancer la simulation avec l'autre conjoint comme défunt : les deux scénarios s'imposent.</t>
  </si>
  <si>
    <t xml:space="preserve">Étape 7</t>
  </si>
  <si>
    <t xml:space="preserve">Basculer sur le volet retraite : carrière, puis estimation, puis objectif.</t>
  </si>
  <si>
    <t xml:space="preserve">Étape 8</t>
  </si>
  <si>
    <t xml:space="preserve">Présenter la feuille « Synthese » au client.</t>
  </si>
  <si>
    <t xml:space="preserve">MISE À JOUR ANNUELLE (feuille « Parametres »)</t>
  </si>
  <si>
    <t xml:space="preserve">☐</t>
  </si>
  <si>
    <t xml:space="preserve">Abattements et barème des droits de succession (§ 1 et 2)</t>
  </si>
  <si>
    <t xml:space="preserve">Loi de finances — janvier</t>
  </si>
  <si>
    <t xml:space="preserve">Barème de l'impôt sur le revenu (§ 6)</t>
  </si>
  <si>
    <t xml:space="preserve">Calendrier de l'âge légal et de la durée d'assurance (§ 7)</t>
  </si>
  <si>
    <t xml:space="preserve">À chaque réforme des retraites</t>
  </si>
  <si>
    <t xml:space="preserve">PASS et PASS N-1 (§ 8)</t>
  </si>
  <si>
    <t xml:space="preserve">1er janvier</t>
  </si>
  <si>
    <t xml:space="preserve">Valeur d'achat et valeur de service du point Agirc-Arrco (§ 9)</t>
  </si>
  <si>
    <t xml:space="preserve">1er novembre — agirc-arrco.fr</t>
  </si>
  <si>
    <t xml:space="preserve">Taux de CSG / CRDS / CASA (§ 10)</t>
  </si>
  <si>
    <t xml:space="preserve">Hypothèses d'inflation et de rendement (§ 11)</t>
  </si>
  <si>
    <t xml:space="preserve">À votre main — au moins une fois par an</t>
  </si>
  <si>
    <t xml:space="preserve">Plafond de déduction PER (§ 12)</t>
  </si>
  <si>
    <t xml:space="preserve">CE QUE LE MODÈLE NE FAIT PAS</t>
  </si>
  <si>
    <t xml:space="preserve">Succession : représentation des petits-enfants, fente successorale entre branches, rapport civil des donations, récompenses entre patrimoines, reconstitution du barème sur les donations rappelées, droit de retour légal ou conventionnel, exonérations sectorielles (pacte Dutreil, bois et forêts, monuments historiques), successions internationales.</t>
  </si>
  <si>
    <t xml:space="preserve">Assurance-vie : contrats antérieurs au 20/11/1991, primes antérieures au 13/10/1998, clauses bénéficiaires démembrées, contrats de capitalisation.</t>
  </si>
  <si>
    <t xml:space="preserve">Retraite : carrière longue, retraite progressive, catégories actives, régimes spéciaux, fonction publique, indépendants et professions libérales, polypensionnés, périodes à l'étranger, minimum contributif, réversion, rachats de trimestres.</t>
  </si>
  <si>
    <t xml:space="preserve">Fiscalité : impôt sur la fortune immobilière, plafonnement du quotient familial, décote, réductions et crédits d'impôt, prélèvement à la source.</t>
  </si>
  <si>
    <t xml:space="preserve">FICHE CLIENT — FOYER, FAMILLE ET REVENUS</t>
  </si>
  <si>
    <t xml:space="preserve">Renseignez uniquement les cellules bleues sur fond crème. Les cellules noires ou vertes sont calculées : ne les écrasez pas.</t>
  </si>
  <si>
    <t xml:space="preserve">1.  PARAMÈTRES DE L'ÉTUDE</t>
  </si>
  <si>
    <t xml:space="preserve">Date de la simulation</t>
  </si>
  <si>
    <t xml:space="preserve">Sert de référence pour les âges et pour le rappel fiscal des donations sur 15 ans.</t>
  </si>
  <si>
    <t xml:space="preserve">Conseiller / agence</t>
  </si>
  <si>
    <t xml:space="preserve">Référence du dossier</t>
  </si>
  <si>
    <t xml:space="preserve">2.  IDENTIFICATION DU FOYER</t>
  </si>
  <si>
    <t xml:space="preserve">CLIENT</t>
  </si>
  <si>
    <t xml:space="preserve">CONJOINT / PARTENAIRE</t>
  </si>
  <si>
    <t xml:space="preserve">Civilité</t>
  </si>
  <si>
    <t xml:space="preserve">M.</t>
  </si>
  <si>
    <t xml:space="preserve">Mme</t>
  </si>
  <si>
    <t xml:space="preserve">Nom</t>
  </si>
  <si>
    <t xml:space="preserve">MARTIN</t>
  </si>
  <si>
    <t xml:space="preserve">Prénom</t>
  </si>
  <si>
    <t xml:space="preserve">Jean</t>
  </si>
  <si>
    <t xml:space="preserve">Sophie</t>
  </si>
  <si>
    <t xml:space="preserve">Date de naissance</t>
  </si>
  <si>
    <t xml:space="preserve">Âge au jour de la simulation</t>
  </si>
  <si>
    <t xml:space="preserve">Identité complète</t>
  </si>
  <si>
    <t xml:space="preserve">Résidence fiscale</t>
  </si>
  <si>
    <t xml:space="preserve">France</t>
  </si>
  <si>
    <t xml:space="preserve">Le modèle suppose un défunt et des héritiers résidents fiscaux français (art. 750 ter CGI).</t>
  </si>
  <si>
    <t xml:space="preserve">3.  SITUATION FAMILIALE</t>
  </si>
  <si>
    <t xml:space="preserve">Situation matrimoniale</t>
  </si>
  <si>
    <t xml:space="preserve">Marié(e)</t>
  </si>
  <si>
    <t xml:space="preserve">Seul le MARIAGE confère la qualité d'héritier légal. Le partenaire de PACS et le concubin n'héritent que par testament (le PACS reste exonéré de droits, pas le concubinage).</t>
  </si>
  <si>
    <t xml:space="preserve">Régime matrimonial</t>
  </si>
  <si>
    <t xml:space="preserve">Communauté légale (réduite aux acquêts)</t>
  </si>
  <si>
    <t xml:space="preserve">Date du mariage / du PACS</t>
  </si>
  <si>
    <t xml:space="preserve">Donation au dernier vivant (DDV) en place</t>
  </si>
  <si>
    <t xml:space="preserve">Oui</t>
  </si>
  <si>
    <t xml:space="preserve">Art. 1094-1 C. civ. : élargit les options du conjoint (100 % en usufruit ou 1/4 PP + 3/4 US), y compris en présence d'enfants d'un premier lit.</t>
  </si>
  <si>
    <t xml:space="preserve">Testament rédigé</t>
  </si>
  <si>
    <t xml:space="preserve">Non</t>
  </si>
  <si>
    <t xml:space="preserve">4.  ENFANTS</t>
  </si>
  <si>
    <t xml:space="preserve">Âge</t>
  </si>
  <si>
    <t xml:space="preserve">Filiation</t>
  </si>
  <si>
    <t xml:space="preserve">Vivant</t>
  </si>
  <si>
    <t xml:space="preserve">Situation de handicap</t>
  </si>
  <si>
    <t xml:space="preserve">Chloé</t>
  </si>
  <si>
    <t xml:space="preserve">Du client uniquement</t>
  </si>
  <si>
    <t xml:space="preserve">Un enfant prédécédé laissant lui-même des enfants ouvre la représentation (art. 751 C. civ.) : saisissez alors ses enfants sur des lignes distinctes.</t>
  </si>
  <si>
    <t xml:space="preserve">Lucas</t>
  </si>
  <si>
    <t xml:space="preserve">Commun au couple</t>
  </si>
  <si>
    <t xml:space="preserve">Emma</t>
  </si>
  <si>
    <t xml:space="preserve">Enfants vivants communs au couple</t>
  </si>
  <si>
    <t xml:space="preserve">Enfants vivants du client uniquement</t>
  </si>
  <si>
    <t xml:space="preserve">Enfants vivants du conjoint uniquement</t>
  </si>
  <si>
    <t xml:space="preserve">TOTAL des enfants héritiers du CLIENT</t>
  </si>
  <si>
    <t xml:space="preserve">TOTAL des enfants héritiers du CONJOINT</t>
  </si>
  <si>
    <t xml:space="preserve">5.  ASCENDANTS ET COLLATÉRAUX (utiles en l'absence d'enfant)</t>
  </si>
  <si>
    <t xml:space="preserve">Père vivant</t>
  </si>
  <si>
    <t xml:space="preserve">Mère vivante</t>
  </si>
  <si>
    <t xml:space="preserve">Nombre d'ascendants privilégiés survivants</t>
  </si>
  <si>
    <t xml:space="preserve">Nombre de frères et sœurs vivants</t>
  </si>
  <si>
    <t xml:space="preserve">Nombre de neveux / nièces venant en représentation</t>
  </si>
  <si>
    <t xml:space="preserve">Neveux et nièces représentant un frère ou une sœur prédécédé (art. 752-2 C. civ.).</t>
  </si>
  <si>
    <t xml:space="preserve">6.  SITUATION PROFESSIONNELLE ET REVENUS</t>
  </si>
  <si>
    <t xml:space="preserve">Statut professionnel</t>
  </si>
  <si>
    <t xml:space="preserve">Salarié du privé</t>
  </si>
  <si>
    <t xml:space="preserve">Le module retraite est calibré pour le régime général + Agirc-Arrco (salariés du privé). Pour un fonctionnaire ou un indépendant, reportez directement l'estimation de son régime.</t>
  </si>
  <si>
    <t xml:space="preserve">Profession</t>
  </si>
  <si>
    <t xml:space="preserve">Cadre commercial</t>
  </si>
  <si>
    <t xml:space="preserve">Infirmière</t>
  </si>
  <si>
    <t xml:space="preserve">Date d'entrée dans la vie active</t>
  </si>
  <si>
    <t xml:space="preserve">Revenu annuel BRUT (€)</t>
  </si>
  <si>
    <t xml:space="preserve">Revenu annuel NET IMPOSABLE (€)</t>
  </si>
  <si>
    <t xml:space="preserve">Revenu NET MENSUEL perçu (€)</t>
  </si>
  <si>
    <t xml:space="preserve">Sert de base au taux de remplacement à la retraite.</t>
  </si>
  <si>
    <t xml:space="preserve">7.  FISCALITÉ DU FOYER</t>
  </si>
  <si>
    <t xml:space="preserve">Nombre de parts fiscales</t>
  </si>
  <si>
    <t xml:space="preserve">Revenu net imposable du foyer</t>
  </si>
  <si>
    <t xml:space="preserve">Quotient familial</t>
  </si>
  <si>
    <t xml:space="preserve">Impôt sur le revenu estimé</t>
  </si>
  <si>
    <t xml:space="preserve">Taux moyen d'imposition</t>
  </si>
  <si>
    <t xml:space="preserve">TAUX MARGINAL D'IMPOSITION (TMI)</t>
  </si>
  <si>
    <t xml:space="preserve">Détermine l'économie d'impôt d'un versement sur un PER (feuille « Retraite_Objectif »).</t>
  </si>
  <si>
    <t xml:space="preserve">Ce classeur est livré pré-rempli avec un cas fictif d'illustration (famille MARTIN). Écrasez chaque cellule bleue par les données réelles du client.</t>
  </si>
  <si>
    <t xml:space="preserve">PATRIMOINE DU FOYER ET MASSE SUCCESSORALE</t>
  </si>
  <si>
    <t xml:space="preserve">Inventaire des biens, liquidation du régime matrimonial et détermination de l'actif net successoral qui sera partagé dans la feuille « Devolution ».</t>
  </si>
  <si>
    <t xml:space="preserve">1.  HYPOTHÈSE DE SIMULATION</t>
  </si>
  <si>
    <t xml:space="preserve">Simulation du décès de</t>
  </si>
  <si>
    <t xml:space="preserve">Client</t>
  </si>
  <si>
    <t xml:space="preserve">Bascule l'ensemble du classeur : détention des biens, héritiers, abattements. Faites tourner les deux scénarios pour une étude complète.</t>
  </si>
  <si>
    <t xml:space="preserve">Défunt simulé</t>
  </si>
  <si>
    <t xml:space="preserve">Conjoint survivant</t>
  </si>
  <si>
    <t xml:space="preserve">Âge du conjoint survivant retenu pour valoriser l'usufruit</t>
  </si>
  <si>
    <t xml:space="preserve">Valeur fiscale de l'usufruit (art. 669 CGI)</t>
  </si>
  <si>
    <t xml:space="preserve">← valeur de la nue-propriété</t>
  </si>
  <si>
    <t xml:space="preserve">2.  ACTIF DU PATRIMOINE (hors assurance-vie, traitée sur sa propre feuille)</t>
  </si>
  <si>
    <t xml:space="preserve">Catégorie</t>
  </si>
  <si>
    <t xml:space="preserve">Désignation du bien</t>
  </si>
  <si>
    <t xml:space="preserve">Valeur vénale du bien (€)</t>
  </si>
  <si>
    <t xml:space="preserve">Mode de détention</t>
  </si>
  <si>
    <t xml:space="preserve">Quote-part détenue par le foyer</t>
  </si>
  <si>
    <t xml:space="preserve">Capital restant dû (€)</t>
  </si>
  <si>
    <t xml:space="preserve">Valeur nette détenue (€)</t>
  </si>
  <si>
    <t xml:space="preserve">% entrant dans la succession</t>
  </si>
  <si>
    <t xml:space="preserve">Quote-part successorale nette (€)</t>
  </si>
  <si>
    <t xml:space="preserve">Résidence principale</t>
  </si>
  <si>
    <t xml:space="preserve">Maison — Villeurbanne</t>
  </si>
  <si>
    <t xml:space="preserve">Commun (communauté)</t>
  </si>
  <si>
    <t xml:space="preserve">Résidence secondaire</t>
  </si>
  <si>
    <t xml:space="preserve">Appartement — Annecy</t>
  </si>
  <si>
    <t xml:space="preserve">Propre - Client</t>
  </si>
  <si>
    <t xml:space="preserve">Immobilier locatif</t>
  </si>
  <si>
    <t xml:space="preserve">T3 — Lyon 7e</t>
  </si>
  <si>
    <t xml:space="preserve">Studio — Grenoble (indivis avec sa sœur)</t>
  </si>
  <si>
    <t xml:space="preserve">Indivision - Client</t>
  </si>
  <si>
    <t xml:space="preserve">Liquidités et livrets</t>
  </si>
  <si>
    <t xml:space="preserve">Comptes courants, Livret A, LDDS</t>
  </si>
  <si>
    <t xml:space="preserve">Comptes-titres / PEA</t>
  </si>
  <si>
    <t xml:space="preserve">PEA — Client</t>
  </si>
  <si>
    <t xml:space="preserve">PEA — Conjoint</t>
  </si>
  <si>
    <t xml:space="preserve">Propre - Conjoint</t>
  </si>
  <si>
    <t xml:space="preserve">Parts de société / entreprise</t>
  </si>
  <si>
    <t xml:space="preserve">SARL Martin Conseil (100 % des parts)</t>
  </si>
  <si>
    <t xml:space="preserve">Biens meubles et divers</t>
  </si>
  <si>
    <t xml:space="preserve">Véhicules, mobilier, objets</t>
  </si>
  <si>
    <t xml:space="preserve">TOTAL DE L'ACTIF</t>
  </si>
  <si>
    <t xml:space="preserve">Quote-part détenue : laissez 100 % sauf indivision avec un tiers. Communauté universelle avec clause d'attribution intégrale : saisissez la détention « Propre - Conjoint » pour neutraliser la transmission.</t>
  </si>
  <si>
    <t xml:space="preserve">3.  PASSIF NON ADOSSÉ À UN BIEN (dettes diverses, impôts, découverts)</t>
  </si>
  <si>
    <t xml:space="preserve">Nature de la dette</t>
  </si>
  <si>
    <t xml:space="preserve">Créancier</t>
  </si>
  <si>
    <t xml:space="preserve">Montant restant dû (€)</t>
  </si>
  <si>
    <t xml:space="preserve">Redevable</t>
  </si>
  <si>
    <t xml:space="preserve">Quote-part à la charge du défunt (€)</t>
  </si>
  <si>
    <t xml:space="preserve">Prêt à la consommation</t>
  </si>
  <si>
    <t xml:space="preserve">Banque</t>
  </si>
  <si>
    <t xml:space="preserve">Commun</t>
  </si>
  <si>
    <t xml:space="preserve">TOTAL DU PASSIF DIVERS</t>
  </si>
  <si>
    <t xml:space="preserve">4.  DÉTERMINATION DE LA MASSE SUCCESSORALE</t>
  </si>
  <si>
    <t xml:space="preserve">Le conjoint ou un enfant occupe la résidence principale</t>
  </si>
  <si>
    <t xml:space="preserve">Condition de l'abattement de 20 % de l'article 764 bis du CGI.</t>
  </si>
  <si>
    <t xml:space="preserve">Appliquer le forfait mobilier de 5 % (art. 764 CGI)</t>
  </si>
  <si>
    <t xml:space="preserve">À activer si le mobilier n'est PAS déjà inventorié dans l'actif ci-dessus. L'exemple livré déclare le mobilier ligne à ligne : le forfait est donc désactivé.</t>
  </si>
  <si>
    <t xml:space="preserve">Actif brut successoral (quote-part du défunt)</t>
  </si>
  <si>
    <t xml:space="preserve">Forfait mobilier de 5 % (à ajouter)</t>
  </si>
  <si>
    <t xml:space="preserve">− Passif divers à la charge du défunt</t>
  </si>
  <si>
    <t xml:space="preserve">− Frais funéraires (forfait art. 775 CGI)</t>
  </si>
  <si>
    <t xml:space="preserve">ACTIF NET SUCCESSORAL (masse civile à partager)</t>
  </si>
  <si>
    <t xml:space="preserve">− Abattement de 20 % sur la résidence principale</t>
  </si>
  <si>
    <t xml:space="preserve">ASSIETTE TAXABLE AUX DROITS DE SUCCESSION</t>
  </si>
  <si>
    <t xml:space="preserve">Coefficient de passage masse civile → assiette fiscale</t>
  </si>
  <si>
    <t xml:space="preserve">5.  DONATIONS ANTÉRIEURES CONSENTIES PAR LE DÉFUNT (rappel fiscal de 15 ans)</t>
  </si>
  <si>
    <t xml:space="preserve">Donataire (prénom, identique à la feuille Client)</t>
  </si>
  <si>
    <t xml:space="preserve">Donateur</t>
  </si>
  <si>
    <t xml:space="preserve">Lien de parenté avec le donateur</t>
  </si>
  <si>
    <t xml:space="preserve">Date de la donation</t>
  </si>
  <si>
    <t xml:space="preserve">Montant donné (€)</t>
  </si>
  <si>
    <t xml:space="preserve">Rappelable ?</t>
  </si>
  <si>
    <t xml:space="preserve">Abattement déjà consommé (€)</t>
  </si>
  <si>
    <t xml:space="preserve">Enfant</t>
  </si>
  <si>
    <t xml:space="preserve">TOTAL des abattements déjà consommés</t>
  </si>
  <si>
    <t xml:space="preserve">Seules les donations consenties PAR LE DÉFUNT SIMULÉ sont rappelées : la colonne « Donateur » assure la bascule automatique lorsque l'on change de défunt. Le modèle reprend la consommation de l'abattement (effet principal du rappel fiscal). La reconstitution du barème progressif sur les donations rappelées n'est PAS modélisée : en présence de donations importantes, les droits réels seront supérieurs à l'estimation.</t>
  </si>
  <si>
    <t xml:space="preserve">6.  SYNTHÈSE DU PATRIMOINE DU FOYER</t>
  </si>
  <si>
    <t xml:space="preserve">Actif brut (valeur vénale des biens détenus)</t>
  </si>
  <si>
    <t xml:space="preserve">Endettement total du foyer</t>
  </si>
  <si>
    <t xml:space="preserve">Patrimoine net hors assurance-vie</t>
  </si>
  <si>
    <t xml:space="preserve">Capitaux d'assurance-vie (valeur de rachat)</t>
  </si>
  <si>
    <t xml:space="preserve">PATRIMOINE NET GLOBAL DU FOYER</t>
  </si>
  <si>
    <t xml:space="preserve">DÉVOLUTION SUCCESSORALE — QUI HÉRITE, ET DE COMBIEN ?</t>
  </si>
  <si>
    <t xml:space="preserve">Application des règles de dévolution légale du Code civil à la situation familiale saisie sur la feuille « Client » et à la masse calculée sur la feuille « Patrimoine ».</t>
  </si>
  <si>
    <t xml:space="preserve">1.  SITUATION SUCCESSORALE (reprise automatique)</t>
  </si>
  <si>
    <t xml:space="preserve">Masse civile à partager (actif net successoral)</t>
  </si>
  <si>
    <t xml:space="preserve">Le conjoint est-il héritier légal ?</t>
  </si>
  <si>
    <t xml:space="preserve">Nombre d'enfants héritiers du défunt</t>
  </si>
  <si>
    <t xml:space="preserve">  dont enfants NON communs au couple</t>
  </si>
  <si>
    <t xml:space="preserve">Ascendants privilégiés survivants (père / mère)</t>
  </si>
  <si>
    <t xml:space="preserve">Frères et sœurs vivants</t>
  </si>
  <si>
    <t xml:space="preserve">Donation au dernier vivant en place</t>
  </si>
  <si>
    <t xml:space="preserve">Conjoint survivant retenu dans la dévolution (1 = oui)</t>
  </si>
  <si>
    <t xml:space="preserve">Cas de dévolution applicable</t>
  </si>
  <si>
    <t xml:space="preserve">Art. 757-3 C. civ. : en l'absence de descendant et d'ascendant, les frères et sœurs reprennent la moitié des biens que le défunt avait reçus de ses parents par succession ou donation (droit de retour) — cas particulier non automatisé ici.</t>
  </si>
  <si>
    <t xml:space="preserve">2.  OPTION DU CONJOINT SURVIVANT</t>
  </si>
  <si>
    <t xml:space="preserve">Option retenue par le conjoint</t>
  </si>
  <si>
    <t xml:space="preserve">1/4 en pleine propriété (option légale)</t>
  </si>
  <si>
    <t xml:space="preserve">Conjoint effectivement héritier (1 = oui)</t>
  </si>
  <si>
    <t xml:space="preserve">Contrôle de cohérence</t>
  </si>
  <si>
    <t xml:space="preserve">Réserve héréditaire globale (art. 913 C. civ.)</t>
  </si>
  <si>
    <t xml:space="preserve">Quotité disponible ordinaire</t>
  </si>
  <si>
    <t xml:space="preserve">3.  QUOTITÉS THÉORIQUES CALCULÉES</t>
  </si>
  <si>
    <t xml:space="preserve">Conjoint — pleine propriété</t>
  </si>
  <si>
    <t xml:space="preserve">Conjoint — usufruit</t>
  </si>
  <si>
    <t xml:space="preserve">Enfants — pleine propriété (globalement)</t>
  </si>
  <si>
    <t xml:space="preserve">Enfants — nue-propriété (globalement)</t>
  </si>
  <si>
    <t xml:space="preserve">Ascendants privilégiés (globalement)</t>
  </si>
  <si>
    <t xml:space="preserve">Frères et sœurs (globalement)</t>
  </si>
  <si>
    <t xml:space="preserve">Autres héritiers / État</t>
  </si>
  <si>
    <t xml:space="preserve">CONTRÔLE — total des quotités (doit valoir 100 %)</t>
  </si>
  <si>
    <t xml:space="preserve">4.  LEGS PARTICULIERS (testament) — prélevés en priorité sur la quotité disponible</t>
  </si>
  <si>
    <t xml:space="preserve">Bénéficiaire du legs</t>
  </si>
  <si>
    <t xml:space="preserve">Lien de parenté avec le défunt</t>
  </si>
  <si>
    <t xml:space="preserve">Montant du legs (€)</t>
  </si>
  <si>
    <t xml:space="preserve">TOTAL DES LEGS</t>
  </si>
  <si>
    <t xml:space="preserve">Contrôle de la réserve héréditaire</t>
  </si>
  <si>
    <t xml:space="preserve">MASSE RESTANT À PARTAGER ENTRE LES HÉRITIERS LÉGAUX</t>
  </si>
  <si>
    <t xml:space="preserve">5.  TABLEAU DE DÉVOLUTION</t>
  </si>
  <si>
    <t xml:space="preserve">Héritier</t>
  </si>
  <si>
    <t xml:space="preserve">Lien de parenté</t>
  </si>
  <si>
    <t xml:space="preserve">Héritier ?</t>
  </si>
  <si>
    <t xml:space="preserve">Quote-part en PP</t>
  </si>
  <si>
    <t xml:space="preserve">Quote-part en US</t>
  </si>
  <si>
    <t xml:space="preserve">Quote-part en NP</t>
  </si>
  <si>
    <t xml:space="preserve">Valeur en pleine propriété (€)</t>
  </si>
  <si>
    <t xml:space="preserve">Valeur de l'usufruit (€)</t>
  </si>
  <si>
    <t xml:space="preserve">Valeur de la nue-propriété (€)</t>
  </si>
  <si>
    <t xml:space="preserve">VALEUR FISCALE REÇUE (€)</t>
  </si>
  <si>
    <t xml:space="preserve">Handicap</t>
  </si>
  <si>
    <t xml:space="preserve">0</t>
  </si>
  <si>
    <t xml:space="preserve">Oncle / Tante / Cousin germain</t>
  </si>
  <si>
    <t xml:space="preserve">TOTAL RÉPARTI</t>
  </si>
  <si>
    <t xml:space="preserve">CONTRÔLE — écart avec la masse civile</t>
  </si>
  <si>
    <t xml:space="preserve">L'usufruit et la nue-propriété sont valorisés selon l'article 669 du CGI, d'après l'âge du conjoint survivant retenu sur la feuille « Patrimoine ». Au décès de l'usufruitier, la réunion de l'usufruit à la nue-propriété se fait EN FRANCHISE DE DROITS (art. 1133 CGI).</t>
  </si>
  <si>
    <t xml:space="preserve">Simplifications assumées : pas de représentation automatique des petits-enfants, pas de fente successorale entre branches paternelle et maternelle, pas de rapport civil des donations, pas de récompenses entre patrimoines propres et commun.</t>
  </si>
  <si>
    <t xml:space="preserve">DROITS DE SUCCESSION — LIQUIDATION PAR HÉRITIER</t>
  </si>
  <si>
    <t xml:space="preserve">Abattements personnels (art. 779 et 788 CGI), rappel fiscal des donations de moins de 15 ans et barème progressif de l'article 777 du CGI.</t>
  </si>
  <si>
    <t xml:space="preserve">1.  RAPPEL DES ASSIETTES</t>
  </si>
  <si>
    <t xml:space="preserve">Masse civile partagée</t>
  </si>
  <si>
    <t xml:space="preserve">Assiette taxable après abattement résidence principale</t>
  </si>
  <si>
    <t xml:space="preserve">Coefficient de passage civil → fiscal</t>
  </si>
  <si>
    <t xml:space="preserve">2.  LIQUIDATION DES DROITS, HÉRITIER PAR HÉRITIER</t>
  </si>
  <si>
    <t xml:space="preserve">Part reçue — valeur civile (€)</t>
  </si>
  <si>
    <t xml:space="preserve">Assiette fiscale de la part (€)</t>
  </si>
  <si>
    <t xml:space="preserve">Primes d'assurance-vie art. 757 B (€)</t>
  </si>
  <si>
    <t xml:space="preserve">Base avant abattement (€)</t>
  </si>
  <si>
    <t xml:space="preserve">Abattement personnel (€)</t>
  </si>
  <si>
    <t xml:space="preserve">Abattement handicap (€)</t>
  </si>
  <si>
    <t xml:space="preserve">− consommé par donations (€)</t>
  </si>
  <si>
    <t xml:space="preserve">Abattement net (€)</t>
  </si>
  <si>
    <t xml:space="preserve">BASE TAXABLE (€)</t>
  </si>
  <si>
    <t xml:space="preserve">Catégorie de barème</t>
  </si>
  <si>
    <t xml:space="preserve">DROITS DE SUCCESSION (€)</t>
  </si>
  <si>
    <t xml:space="preserve">Taux moyen</t>
  </si>
  <si>
    <t xml:space="preserve">Net perçu de la succession (€)</t>
  </si>
  <si>
    <t xml:space="preserve">TOTAUX</t>
  </si>
  <si>
    <t xml:space="preserve">3.  SYNTHÈSE DU COÛT DE LA TRANSMISSION</t>
  </si>
  <si>
    <t xml:space="preserve">Droits de succession dus (hors assurance-vie art. 990 I)</t>
  </si>
  <si>
    <t xml:space="preserve">Prélèvement sur l'assurance-vie (art. 990 I)</t>
  </si>
  <si>
    <t xml:space="preserve">COÛT TOTAL DE LA TRANSMISSION</t>
  </si>
  <si>
    <t xml:space="preserve">Patrimoine transmis (succession + assurance-vie)</t>
  </si>
  <si>
    <t xml:space="preserve">Taux de frottement fiscal global</t>
  </si>
  <si>
    <t xml:space="preserve">4.  COMPARATIF DES OPTIONS DU CONJOINT — IMPACT SUR LES DROITS DES ENFANTS</t>
  </si>
  <si>
    <t xml:space="preserve">À situation patrimoniale identique, le choix du conjoint entre pleine propriété et usufruit change la base taxable des enfants. Le comparatif ci-dessous recalcule les droits pour chacune des options.</t>
  </si>
  <si>
    <t xml:space="preserve">Abattement net disponible (€)</t>
  </si>
  <si>
    <t xml:space="preserve">Option A — conjoint 1/4 en PP</t>
  </si>
  <si>
    <t xml:space="preserve">Option B — conjoint 100 % en usufruit</t>
  </si>
  <si>
    <t xml:space="preserve">Option C — conjoint 1/4 PP + 3/4 US</t>
  </si>
  <si>
    <t xml:space="preserve">Part taxable (€)</t>
  </si>
  <si>
    <t xml:space="preserve">Droits (€)</t>
  </si>
  <si>
    <t xml:space="preserve">TOTAL DES DROITS PAYÉS PAR LES ENFANTS</t>
  </si>
  <si>
    <t xml:space="preserve">Économie par rapport à l'option A</t>
  </si>
  <si>
    <t xml:space="preserve">Valeur transmise au conjoint</t>
  </si>
  <si>
    <t xml:space="preserve">Lecture : l'usufruit protège le conjoint (il conserve la jouissance et les revenus de la totalité des biens) et réduit immédiatement la base taxable des enfants, qui ne recueillent que la nue-propriété. À l'extinction de l'usufruit, ils deviennent pleins propriétaires SANS aucun droit supplémentaire (art. 1133 CGI). En contrepartie, les enfants ne disposent pas des biens du vivant du conjoint.</t>
  </si>
  <si>
    <t xml:space="preserve">Le comparatif suppose une DDV permettant les options B et C ; il ignore les legs et les primes d'assurance-vie soumises à l'article 757 B.</t>
  </si>
  <si>
    <t xml:space="preserve">ASSURANCE-VIE — CAPITAUX DÉCÈS ET FISCALITÉ</t>
  </si>
  <si>
    <t xml:space="preserve">Hors succession civile (art. L.132-12 C. assur.). Fiscalité propre : prélèvement de l'art. 990 I pour les primes versées avant 70 ans, droits de succession de l'art. 757 B pour les primes versées après 70 ans.</t>
  </si>
  <si>
    <t xml:space="preserve">1.  CONTRATS D'ASSURANCE-VIE DU FOYER</t>
  </si>
  <si>
    <t xml:space="preserve">Nom du contrat</t>
  </si>
  <si>
    <t xml:space="preserve">Compagnie</t>
  </si>
  <si>
    <t xml:space="preserve">Souscripteur</t>
  </si>
  <si>
    <t xml:space="preserve">Valeur de rachat (€)</t>
  </si>
  <si>
    <t xml:space="preserve">Capital décès (€)</t>
  </si>
  <si>
    <t xml:space="preserve">Primes versées AVANT 70 ans (€)</t>
  </si>
  <si>
    <t xml:space="preserve">Primes versées APRÈS 70 ans (€)</t>
  </si>
  <si>
    <t xml:space="preserve">Total des primes (€)</t>
  </si>
  <si>
    <t xml:space="preserve">Capital rattaché aux primes &lt; 70 ans (€)</t>
  </si>
  <si>
    <t xml:space="preserve">Capital rattaché aux primes &gt; 70 ans (€)</t>
  </si>
  <si>
    <t xml:space="preserve">Dénoué par le décès simulé</t>
  </si>
  <si>
    <t xml:space="preserve">Total des quotes-parts des clauses</t>
  </si>
  <si>
    <t xml:space="preserve">Contrôle</t>
  </si>
  <si>
    <t xml:space="preserve">Multisupport Sérénité</t>
  </si>
  <si>
    <t xml:space="preserve">Assureur A</t>
  </si>
  <si>
    <t xml:space="preserve">Contrat Horizon</t>
  </si>
  <si>
    <t xml:space="preserve">Assureur B</t>
  </si>
  <si>
    <t xml:space="preserve">Conjoint</t>
  </si>
  <si>
    <t xml:space="preserve">La ventilation du capital décès entre primes versées avant et après 70 ans est faite au prorata des primes. « Dénoué par le décès simulé » vaut 1 lorsque le souscripteur est le défunt retenu sur la feuille « Patrimoine ».</t>
  </si>
  <si>
    <t xml:space="preserve">2.  CLAUSES BÉNÉFICIAIRES</t>
  </si>
  <si>
    <t xml:space="preserve">N° de contrat</t>
  </si>
  <si>
    <t xml:space="preserve">Bénéficiaire (prénom identique à la feuille Client)</t>
  </si>
  <si>
    <t xml:space="preserve">Lien avec le défunt</t>
  </si>
  <si>
    <t xml:space="preserve">Quote-part de la clause</t>
  </si>
  <si>
    <t xml:space="preserve">Capital attribué (€)</t>
  </si>
  <si>
    <t xml:space="preserve">dont issu de primes &lt; 70 ans (€)</t>
  </si>
  <si>
    <t xml:space="preserve">Primes &gt; 70 ans attribuées (€)</t>
  </si>
  <si>
    <t xml:space="preserve">TOTAL DES CAPITAUX TRANSMIS PAR LE DÉCÈS SIMULÉ</t>
  </si>
  <si>
    <t xml:space="preserve">La colonne « Contrôle » du tableau des contrats (colonne N ci-dessus) vérifie que les quotes-parts de chaque clause totalisent bien 100 %.</t>
  </si>
  <si>
    <t xml:space="preserve">3.  FISCALITÉ PAR BÉNÉFICIAIRE</t>
  </si>
  <si>
    <t xml:space="preserve">Saisissez chaque bénéficiaire UNE SEULE FOIS : les capitaux issus des différentes clauses sont agrégés automatiquement, comme le fait l'administration fiscale (abattements individuels, tous contrats confondus).</t>
  </si>
  <si>
    <t xml:space="preserve">Bénéficiaire</t>
  </si>
  <si>
    <t xml:space="preserve">Exonéré ?</t>
  </si>
  <si>
    <t xml:space="preserve">Capital issu de primes &lt; 70 ans (€)</t>
  </si>
  <si>
    <t xml:space="preserve">Abattement art. 990 I (€)</t>
  </si>
  <si>
    <t xml:space="preserve">Base taxable art. 990 I (€)</t>
  </si>
  <si>
    <t xml:space="preserve">PRÉLÈVEMENT ART. 990 I (€)</t>
  </si>
  <si>
    <t xml:space="preserve">Quote-part de l'abattement de 30 500 € (€)</t>
  </si>
  <si>
    <t xml:space="preserve">BASE SOUMISE AUX DROITS (art. 757 B) (€)</t>
  </si>
  <si>
    <t xml:space="preserve">Capital total perçu (€)</t>
  </si>
  <si>
    <t xml:space="preserve">Net perçu après prélèvement 990 I (€)</t>
  </si>
  <si>
    <t xml:space="preserve">Contrôle : capitaux répartis vs capitaux transmis</t>
  </si>
  <si>
    <t xml:space="preserve">Art. 990 I CGI — primes versées AVANT 70 ans : abattement de 152 500 € par bénéficiaire (tous contrats du même assuré confondus), puis 20 % jusqu'à 700 000 € de part taxable et 31,25 % au-delà. Le conjoint et le partenaire de PACS sont exonérés (art. 796-0 bis).</t>
  </si>
  <si>
    <t xml:space="preserve">Art. 757 B CGI — primes versées APRÈS 70 ans : seules les PRIMES sont taxables, après un abattement GLOBAL de 30 500 € réparti entre les bénéficiaires taxables au prorata. Les produits capitalisés restent exonérés. La base ainsi calculée (colonne K) est reprise automatiquement dans l'assiette des droits de succession du bénéficiaire, feuille « Droits_Succession » colonne F.</t>
  </si>
  <si>
    <t xml:space="preserve">Non modélisé : contrats souscrits avant le 20/11/1991, primes versées avant le 13/10/1998, clauses démembrées (usufruit / nue-propriété du capital décès) et contrats de capitalisation.</t>
  </si>
  <si>
    <t xml:space="preserve">RETRAITE — PERSONNE ÉTUDIÉE, PARAMÈTRES LÉGAUX ET CARRIÈRE</t>
  </si>
  <si>
    <t xml:space="preserve">Modèle calibré pour un salarié du privé : régime général (CNAV) + complémentaire Agirc-Arrco. Basculez le sélecteur pour étudier le conjoint.</t>
  </si>
  <si>
    <t xml:space="preserve">1.  PERSONNE ÉTUDIÉE</t>
  </si>
  <si>
    <t xml:space="preserve">Personne étudiée</t>
  </si>
  <si>
    <t xml:space="preserve">Identité</t>
  </si>
  <si>
    <t xml:space="preserve">Année de naissance</t>
  </si>
  <si>
    <t xml:space="preserve">Âge actuel</t>
  </si>
  <si>
    <t xml:space="preserve">Salaire annuel brut actuel</t>
  </si>
  <si>
    <t xml:space="preserve">Revenu net mensuel actuel</t>
  </si>
  <si>
    <t xml:space="preserve">Nombre d'enfants</t>
  </si>
  <si>
    <t xml:space="preserve">Contrôle du régime</t>
  </si>
  <si>
    <t xml:space="preserve">2.  PARAMÈTRES LÉGAUX (issus du calendrier par génération)</t>
  </si>
  <si>
    <t xml:space="preserve">Calendrier légal</t>
  </si>
  <si>
    <t xml:space="preserve">Valeur retenue</t>
  </si>
  <si>
    <t xml:space="preserve">Âge légal de départ (années)</t>
  </si>
  <si>
    <t xml:space="preserve">Feuille Parametres § 7.</t>
  </si>
  <si>
    <t xml:space="preserve">Durée d'assurance requise (trimestres)</t>
  </si>
  <si>
    <t xml:space="preserve">Âge du taux plein automatique</t>
  </si>
  <si>
    <t xml:space="preserve">Taux plein sans condition de durée.</t>
  </si>
  <si>
    <t xml:space="preserve">⚠️ Dispositifs non modélisés : carrière longue, retraite progressive, incapacité permanente, catégories actives, régimes spéciaux, rachats de trimestres.</t>
  </si>
  <si>
    <t xml:space="preserve">3.  CARRIÈRE (à recopier depuis le relevé de carrière — info-retraite.fr)</t>
  </si>
  <si>
    <t xml:space="preserve">Trimestres validés au relevé de carrière</t>
  </si>
  <si>
    <t xml:space="preserve">Tous régimes de base confondus.</t>
  </si>
  <si>
    <t xml:space="preserve">Année du relevé de carrière</t>
  </si>
  <si>
    <t xml:space="preserve">Âge à la date du relevé</t>
  </si>
  <si>
    <t xml:space="preserve">Trimestres de majoration à ajouter (maternité, éducation, service…)</t>
  </si>
  <si>
    <t xml:space="preserve">Trimestres acquis à la date du relevé (total)</t>
  </si>
  <si>
    <t xml:space="preserve">Âge auquel le taux plein serait atteint</t>
  </si>
  <si>
    <t xml:space="preserve">Le plus tardif entre l'âge légal et l'âge d'obtention de la durée requise, plafonné à l'âge du taux plein automatique.</t>
  </si>
  <si>
    <t xml:space="preserve">ÂGE DE DÉPART ENVISAGÉ</t>
  </si>
  <si>
    <t xml:space="preserve">Alimente la colonne « Départ envisagé » de la feuille « Retraite_Estimation ».</t>
  </si>
  <si>
    <t xml:space="preserve">4.  SALAIRE ANNUEL MOYEN (SAM) ET POINTS AGIRC-ARRCO</t>
  </si>
  <si>
    <t xml:space="preserve">Mode de détermination du SAM</t>
  </si>
  <si>
    <t xml:space="preserve">Estimation automatique</t>
  </si>
  <si>
    <t xml:space="preserve">Préférez « Saisie directe » dès que le client dispose d'une estimation officielle.</t>
  </si>
  <si>
    <t xml:space="preserve">SAM saisi (25 meilleures années, plafonnées au PASS)</t>
  </si>
  <si>
    <t xml:space="preserve">SAM estimé automatiquement</t>
  </si>
  <si>
    <t xml:space="preserve">Salaire brut plafonné au PASS × coefficient de carrière (feuille Parametres § 11). APPROXIMATION : les 25 meilleures années sont en moyenne inférieures au dernier salaire.</t>
  </si>
  <si>
    <t xml:space="preserve">SALAIRE ANNUEL MOYEN RETENU</t>
  </si>
  <si>
    <t xml:space="preserve">Points Agirc-Arrco acquis au relevé</t>
  </si>
  <si>
    <t xml:space="preserve">Points acquis chaque année (calculés sur le salaire actuel)</t>
  </si>
  <si>
    <t xml:space="preserve">Le raisonnement est mené EN EUROS CONSTANTS : salaire, SAM et valeurs du point sont supposés évoluer comme l'inflation. Les montants de pension s'interprètent donc en pouvoir d'achat d'aujourd'hui.</t>
  </si>
  <si>
    <t xml:space="preserve">RETRAITE — ESTIMATION DE LA PENSION SELON L'ÂGE DE DÉPART</t>
  </si>
  <si>
    <t xml:space="preserve">Le même bloc de calcul est appliqué à six âges de départ, plus l'âge envisagé. Montants exprimés en euros constants (pouvoir d'achat d'aujourd'hui).</t>
  </si>
  <si>
    <t xml:space="preserve">SCÉNARIOS D'ÂGE DE DÉPART</t>
  </si>
  <si>
    <t xml:space="preserve">Étape de calcul</t>
  </si>
  <si>
    <t xml:space="preserve">62 ans</t>
  </si>
  <si>
    <t xml:space="preserve">63 ans</t>
  </si>
  <si>
    <t xml:space="preserve">64 ans</t>
  </si>
  <si>
    <t xml:space="preserve">65 ans</t>
  </si>
  <si>
    <t xml:space="preserve">66 ans</t>
  </si>
  <si>
    <t xml:space="preserve">67 ans</t>
  </si>
  <si>
    <t xml:space="preserve">DÉPART ENVISAGÉ</t>
  </si>
  <si>
    <t xml:space="preserve">Âge de départ</t>
  </si>
  <si>
    <t xml:space="preserve">Année de départ estimée</t>
  </si>
  <si>
    <t xml:space="preserve">Départ possible au regard de l'âge légal ?</t>
  </si>
  <si>
    <t xml:space="preserve">Trimestres acquis au départ</t>
  </si>
  <si>
    <t xml:space="preserve">    Durée d'assurance requise</t>
  </si>
  <si>
    <t xml:space="preserve">    Trimestres manquants</t>
  </si>
  <si>
    <t xml:space="preserve">    Trimestres restant jusqu'à l'âge du taux plein</t>
  </si>
  <si>
    <t xml:space="preserve">    Trimestres de décote retenus</t>
  </si>
  <si>
    <t xml:space="preserve">    Trimestres de surcote</t>
  </si>
  <si>
    <t xml:space="preserve">Taux de liquidation</t>
  </si>
  <si>
    <t xml:space="preserve">Coefficient de proratisation</t>
  </si>
  <si>
    <t xml:space="preserve">    Salaire annuel moyen retenu</t>
  </si>
  <si>
    <t xml:space="preserve">Pension de base annuelle brute</t>
  </si>
  <si>
    <t xml:space="preserve">    Majoration pour 3 enfants et plus</t>
  </si>
  <si>
    <t xml:space="preserve">PENSION DE BASE BRUTE (annuelle)</t>
  </si>
  <si>
    <t xml:space="preserve">Points Agirc-Arrco au départ</t>
  </si>
  <si>
    <t xml:space="preserve">    Coefficient de report Agirc-Arrco</t>
  </si>
  <si>
    <t xml:space="preserve">Pension complémentaire annuelle brute</t>
  </si>
  <si>
    <t xml:space="preserve">    Majoration familiale (3 enfants et plus)</t>
  </si>
  <si>
    <t xml:space="preserve">PENSION COMPLÉMENTAIRE BRUTE (annuelle)</t>
  </si>
  <si>
    <t xml:space="preserve">TOTAL BRUT ANNUEL</t>
  </si>
  <si>
    <t xml:space="preserve">Total brut mensuel</t>
  </si>
  <si>
    <t xml:space="preserve">    Prélèvements sociaux (CSG, CRDS, CASA, maladie)</t>
  </si>
  <si>
    <t xml:space="preserve">TOTAL NET ANNUEL</t>
  </si>
  <si>
    <t xml:space="preserve">PENSION NETTE MENSUELLE</t>
  </si>
  <si>
    <t xml:space="preserve">    Revenu net mensuel actuel</t>
  </si>
  <si>
    <t xml:space="preserve">TAUX DE REMPLACEMENT (net / net)</t>
  </si>
  <si>
    <t xml:space="preserve">Gain d'un report d'un an (pension nette mensuelle)</t>
  </si>
  <si>
    <t xml:space="preserve">Décote : 1,25 point par trimestre manquant, dans la limite de 20 trimestres, le nombre retenu étant le PLUS FAIBLE entre les trimestres manquants et les trimestres restant jusqu'à l'âge du taux plein automatique.</t>
  </si>
  <si>
    <t xml:space="preserve">Surcote : 1,25 point par trimestre cotisé au-delà de la durée requise ET de l'âge légal.</t>
  </si>
  <si>
    <t xml:space="preserve">Non modélisés : minimum contributif, pensions de réversion, périodes à l'étranger, polypensionnés hors régime général, rachats de trimestres, plafonnement du cumul emploi-retraite. Estimation indicative — seule la caisse de retraite fait foi.</t>
  </si>
  <si>
    <t xml:space="preserve">RETRAITE — OBJECTIF DE REVENU ET EFFORT D'ÉPARGNE</t>
  </si>
  <si>
    <t xml:space="preserve">Raisonnement en euros constants : les taux de rendement sont convertis en taux RÉELS (nets d'inflation). Les montants s'interprètent en pouvoir d'achat d'aujourd'hui.</t>
  </si>
  <si>
    <t xml:space="preserve">1.  OBJECTIF DE REVENU À LA RETRAITE</t>
  </si>
  <si>
    <t xml:space="preserve">Mode de définition de l'objectif</t>
  </si>
  <si>
    <t xml:space="preserve">Montant mensuel</t>
  </si>
  <si>
    <t xml:space="preserve">Objectif — montant net mensuel souhaité (€ d'aujourd'hui)</t>
  </si>
  <si>
    <t xml:space="preserve">Objectif — en % du revenu net actuel</t>
  </si>
  <si>
    <t xml:space="preserve">OBJECTIF RETENU (€ nets / mois)</t>
  </si>
  <si>
    <t xml:space="preserve">2.  RESSOURCES ESTIMÉES ET ÉCART À COMBLER</t>
  </si>
  <si>
    <t xml:space="preserve">Pension nette mensuelle estimée (âge de départ envisagé)</t>
  </si>
  <si>
    <t xml:space="preserve">Autres revenus nets mensuels attendus (loyers, pension du conjoint…)</t>
  </si>
  <si>
    <t xml:space="preserve">TOTAL DES RESSOURCES</t>
  </si>
  <si>
    <t xml:space="preserve">ÉCART MENSUEL À COMBLER</t>
  </si>
  <si>
    <t xml:space="preserve">Écart annuel</t>
  </si>
  <si>
    <t xml:space="preserve">Taux de remplacement avant effort d'épargne</t>
  </si>
  <si>
    <t xml:space="preserve">3.  CAPITAL NÉCESSAIRE AU JOUR DU DÉPART</t>
  </si>
  <si>
    <t xml:space="preserve">Méthode de restitution du capital</t>
  </si>
  <si>
    <t xml:space="preserve">Consommation du capital</t>
  </si>
  <si>
    <t xml:space="preserve">Consommation : le capital est épuisé à l'âge de fin de besoin. Rente viagère : conversion auprès d'un assureur, capital aliéné. Capital préservé : seuls les revenus sont consommés, le capital est transmis.</t>
  </si>
  <si>
    <t xml:space="preserve">Âge de départ retenu</t>
  </si>
  <si>
    <t xml:space="preserve">Âge de fin du besoin de revenu</t>
  </si>
  <si>
    <t xml:space="preserve">Durée de la phase de restitution (années)</t>
  </si>
  <si>
    <t xml:space="preserve">Taux de rendement RÉEL net en restitution</t>
  </si>
  <si>
    <t xml:space="preserve">CAPITAL NÉCESSAIRE AU DÉPART</t>
  </si>
  <si>
    <t xml:space="preserve">4.  RESSOURCES DÉJÀ CONSTITUÉES</t>
  </si>
  <si>
    <t xml:space="preserve">Épargne déjà dédiée à la retraite (€ aujourd'hui)</t>
  </si>
  <si>
    <t xml:space="preserve">PER, assurance-vie, PEA, comptes-titres — uniquement la part réellement affectée au projet retraite (n'y intégrez pas la résidence principale).</t>
  </si>
  <si>
    <t xml:space="preserve">Versements mensuels déjà en place (€)</t>
  </si>
  <si>
    <t xml:space="preserve">Nombre d'années jusqu'au départ</t>
  </si>
  <si>
    <t xml:space="preserve">Nombre de mois jusqu'au départ</t>
  </si>
  <si>
    <t xml:space="preserve">Taux de rendement RÉEL net en constitution</t>
  </si>
  <si>
    <t xml:space="preserve">Taux réel mensuel équivalent</t>
  </si>
  <si>
    <t xml:space="preserve">Capital projeté au départ (€ constants)</t>
  </si>
  <si>
    <t xml:space="preserve">CAPITAL RESTANT À CONSTITUER</t>
  </si>
  <si>
    <t xml:space="preserve">5.  EFFORT D'ÉPARGNE À METTRE EN PLACE</t>
  </si>
  <si>
    <t xml:space="preserve">EFFORT MENSUEL SUPPLÉMENTAIRE (versements constants)</t>
  </si>
  <si>
    <t xml:space="preserve">Effort annuel</t>
  </si>
  <si>
    <t xml:space="preserve">Effort en % du revenu net actuel</t>
  </si>
  <si>
    <t xml:space="preserve">Versement unique équivalent aujourd'hui</t>
  </si>
  <si>
    <t xml:space="preserve">Diagnostic</t>
  </si>
  <si>
    <t xml:space="preserve">6.  CHOIX DE L'ENVELOPPE D'ÉPARGNE</t>
  </si>
  <si>
    <t xml:space="preserve">Taux marginal d'imposition du foyer</t>
  </si>
  <si>
    <t xml:space="preserve">Plafond annuel de déduction PER disponible</t>
  </si>
  <si>
    <t xml:space="preserve">Enveloppe</t>
  </si>
  <si>
    <t xml:space="preserve">Versement annuel</t>
  </si>
  <si>
    <t xml:space="preserve">Économie d'impôt à l'entrée</t>
  </si>
  <si>
    <t xml:space="preserve">Effort net réel annuel</t>
  </si>
  <si>
    <t xml:space="preserve">Fiscalité à la sortie</t>
  </si>
  <si>
    <t xml:space="preserve">Disponibilité</t>
  </si>
  <si>
    <t xml:space="preserve">PER individuel</t>
  </si>
  <si>
    <t xml:space="preserve">Capital : IR au barème sur les versements + PFU 30 % sur les gains. Rente : régime des pensions.</t>
  </si>
  <si>
    <t xml:space="preserve">Bloqué jusqu'à la retraite (sauf achat de la résidence principale et accidents de la vie)</t>
  </si>
  <si>
    <t xml:space="preserve">Assurance-vie</t>
  </si>
  <si>
    <t xml:space="preserve">Après 8 ans : abattement annuel de 4 600 € / 9 200 €, puis 7,5 % + 17,2 % de prélèvements sociaux.</t>
  </si>
  <si>
    <t xml:space="preserve">Disponible à tout moment</t>
  </si>
  <si>
    <t xml:space="preserve">PEA</t>
  </si>
  <si>
    <t xml:space="preserve">Après 5 ans : exonération d'IR, 17,2 % de prélèvements sociaux sur les gains.</t>
  </si>
  <si>
    <t xml:space="preserve">Disponible (retrait avant 5 ans = clôture)</t>
  </si>
  <si>
    <t xml:space="preserve">Immobilier locatif / SCPI</t>
  </si>
  <si>
    <t xml:space="preserve">Revenus fonciers au barème + prélèvements sociaux ; plus-value immobilière à la revente.</t>
  </si>
  <si>
    <t xml:space="preserve">Faible (revente longue, SCPI peu liquides)</t>
  </si>
  <si>
    <t xml:space="preserve">L'économie d'impôt du PER est un DIFFÉRÉ d'imposition, pas un gain définitif : les versements déduits sont réimposés à la sortie. L'arbitrage dépend de l'écart entre la TMI d'aujourd'hui et celle attendue à la retraite.</t>
  </si>
  <si>
    <t xml:space="preserve">7.  SENSIBILITÉ À L'ÂGE DE DÉPART</t>
  </si>
  <si>
    <t xml:space="preserve">Effet d'un report du départ sur l'effort d'épargne, à objectif de revenu inchangé.</t>
  </si>
  <si>
    <t xml:space="preserve">Pension nette mensuelle estimée</t>
  </si>
  <si>
    <t xml:space="preserve">Écart mensuel à combler</t>
  </si>
  <si>
    <t xml:space="preserve">Durée de restitution (années)</t>
  </si>
  <si>
    <t xml:space="preserve">Capital nécessaire au départ</t>
  </si>
  <si>
    <t xml:space="preserve">Mois de constitution restants</t>
  </si>
  <si>
    <t xml:space="preserve">Capital projeté au départ</t>
  </si>
  <si>
    <t xml:space="preserve">Capital restant à constituer</t>
  </si>
  <si>
    <t xml:space="preserve">EFFORT MENSUEL NÉCESSAIRE</t>
  </si>
  <si>
    <t xml:space="preserve">8.  SENSIBILITÉ AU RENDEMENT RÉEL DE L'ÉPARGNE</t>
  </si>
  <si>
    <t xml:space="preserve">Rendement réel net annuel</t>
  </si>
  <si>
    <t xml:space="preserve">0,0 %</t>
  </si>
  <si>
    <t xml:space="preserve">1,0 %</t>
  </si>
  <si>
    <t xml:space="preserve">2,0 %</t>
  </si>
  <si>
    <t xml:space="preserve">3,0 %</t>
  </si>
  <si>
    <t xml:space="preserve">4,0 %</t>
  </si>
  <si>
    <t xml:space="preserve">5,0 %</t>
  </si>
  <si>
    <t xml:space="preserve">Effort mensuel nécessaire</t>
  </si>
  <si>
    <t xml:space="preserve">Hypothèses de rendement non contractuelles, hors frais d'entrée et d'arbitrage. Ce document ne constitue ni un conseil en investissement, ni une garantie de résultat.</t>
  </si>
  <si>
    <t xml:space="preserve">SYNTHÈSE DE L'ÉTUDE PATRIMONIALE</t>
  </si>
  <si>
    <t xml:space="preserve">Restitution des chiffres clés. Toutes les valeurs sont reprises automatiquement des feuilles de calcul.</t>
  </si>
  <si>
    <t xml:space="preserve">LE FOYER</t>
  </si>
  <si>
    <t xml:space="preserve">Conjoint / partenaire</t>
  </si>
  <si>
    <t xml:space="preserve">Situation matrimoniale et régime</t>
  </si>
  <si>
    <t xml:space="preserve">Nombre d'enfants du foyer</t>
  </si>
  <si>
    <t xml:space="preserve">Patrimoine net global (assurance-vie incluse)</t>
  </si>
  <si>
    <t xml:space="preserve">Taux marginal d'imposition</t>
  </si>
  <si>
    <t xml:space="preserve">VOLET 1 — TRANSMISSION</t>
  </si>
  <si>
    <t xml:space="preserve">Décès simulé</t>
  </si>
  <si>
    <t xml:space="preserve">Cas de dévolution retenu</t>
  </si>
  <si>
    <t xml:space="preserve">Actif net successoral (masse civile)</t>
  </si>
  <si>
    <t xml:space="preserve">Capitaux d'assurance-vie transmis</t>
  </si>
  <si>
    <t xml:space="preserve">Part revenant au conjoint survivant (valeur fiscale)</t>
  </si>
  <si>
    <t xml:space="preserve">Part revenant aux enfants (valeur fiscale)</t>
  </si>
  <si>
    <t xml:space="preserve">DROITS DE SUCCESSION</t>
  </si>
  <si>
    <t xml:space="preserve">Taux de frottement fiscal</t>
  </si>
  <si>
    <t xml:space="preserve">VOLET 2 — RETRAITE</t>
  </si>
  <si>
    <t xml:space="preserve">Âge légal de départ / âge du taux plein</t>
  </si>
  <si>
    <t xml:space="preserve">Âge de départ envisagé</t>
  </si>
  <si>
    <t xml:space="preserve">Pension brute mensuelle estimée</t>
  </si>
  <si>
    <t xml:space="preserve">PENSION NETTE MENSUELLE ESTIMÉE</t>
  </si>
  <si>
    <t xml:space="preserve">TAUX DE REMPLACEMENT</t>
  </si>
  <si>
    <t xml:space="preserve">Objectif de revenu net mensuel</t>
  </si>
  <si>
    <t xml:space="preserve">Capital déjà projeté au départ</t>
  </si>
  <si>
    <t xml:space="preserve">EFFORT D'ÉPARGNE MENSUEL À METTRE EN PLACE</t>
  </si>
  <si>
    <t xml:space="preserve">PISTES DE TRAVAIL (générées automatiquement)</t>
  </si>
  <si>
    <t xml:space="preserve">Constat</t>
  </si>
  <si>
    <t xml:space="preserve">Montant en jeu</t>
  </si>
  <si>
    <t xml:space="preserve">CELLULES TECHNIQUES</t>
  </si>
  <si>
    <t xml:space="preserve">Abattements de succession restant disponibles</t>
  </si>
  <si>
    <t xml:space="preserve">Abattements d'assurance-vie restant disponibles</t>
  </si>
  <si>
    <t xml:space="preserve">Liquidités et valeurs mobilières dans la succession</t>
  </si>
  <si>
    <t xml:space="preserve">Document établi à titre d'information. Estimations non contractuelles, établies sur la base des informations communiquées par le client et des barèmes en vigueur à la date indiquée sur la feuille « Client ».</t>
  </si>
  <si>
    <t xml:space="preserve">PARAMÈTRES, BARÈMES ET HYPOTHÈSES</t>
  </si>
  <si>
    <t xml:space="preserve">Toutes les cellules bleues sont modifiables. C'est ici — et nulle part ailleurs — que l'on met à jour les barèmes lors de leur revalorisation annuelle.</t>
  </si>
  <si>
    <t xml:space="preserve">⚠️  Barèmes arrêtés à la date de construction du classeur. Vérifiez chaque valeur avant un usage en clientèle.</t>
  </si>
  <si>
    <t xml:space="preserve">1.  SUCCESSION — ABATTEMENTS PERSONNELS ET CATÉGORIE DE BARÈME</t>
  </si>
  <si>
    <t xml:space="preserve">Abattement (€)</t>
  </si>
  <si>
    <t xml:space="preserve">Référence et commentaire</t>
  </si>
  <si>
    <t xml:space="preserve">Exonéré</t>
  </si>
  <si>
    <t xml:space="preserve">Art. 796-0 bis CGI : exonération totale de droits de succession.</t>
  </si>
  <si>
    <t xml:space="preserve">Partenaire de PACS</t>
  </si>
  <si>
    <t xml:space="preserve">Art. 796-0 bis CGI : exonéré, mais n'hérite QUE par testament (art. 515-6 C. civ.).</t>
  </si>
  <si>
    <t xml:space="preserve">Ligne directe</t>
  </si>
  <si>
    <t xml:space="preserve">Art. 779 I CGI.</t>
  </si>
  <si>
    <t xml:space="preserve">Ascendant (père / mère)</t>
  </si>
  <si>
    <t xml:space="preserve">Petit-enfant</t>
  </si>
  <si>
    <t xml:space="preserve">Art. 788 IV CGI. En cas de représentation, il partage l'abattement de 100 000 € de son auteur.</t>
  </si>
  <si>
    <t xml:space="preserve">Arrière-petit-enfant</t>
  </si>
  <si>
    <t xml:space="preserve">Art. 788 IV CGI.</t>
  </si>
  <si>
    <t xml:space="preserve">Frère / Sœur</t>
  </si>
  <si>
    <t xml:space="preserve">Frères et sœurs</t>
  </si>
  <si>
    <t xml:space="preserve">Art. 779 IV CGI. Exonération totale possible sous conditions (art. 796-0 ter : célibataire/veuf/divorcé, +50 ans ou infirme, domicilié avec le défunt les 5 dernières années).</t>
  </si>
  <si>
    <t xml:space="preserve">Neveu / Nièce</t>
  </si>
  <si>
    <t xml:space="preserve">Parents jusqu'au 4e degré</t>
  </si>
  <si>
    <t xml:space="preserve">Art. 779 V CGI.</t>
  </si>
  <si>
    <t xml:space="preserve">Neveu / Nièce (par représentation)</t>
  </si>
  <si>
    <t xml:space="preserve">Venant en représentation d'un frère ou d'une sœur prédécédé : reprend l'abattement et le barème de son auteur.</t>
  </si>
  <si>
    <t xml:space="preserve">Art. 788 IV et 777 CGI.</t>
  </si>
  <si>
    <t xml:space="preserve">Concubin / Tiers</t>
  </si>
  <si>
    <t xml:space="preserve">Autres</t>
  </si>
  <si>
    <t xml:space="preserve">Art. 788 IV et 777 CGI — taxation à 60 %.</t>
  </si>
  <si>
    <t xml:space="preserve">Aucun (part non taxable)</t>
  </si>
  <si>
    <t xml:space="preserve">Ligne technique : à utiliser pour neutraliser une part.</t>
  </si>
  <si>
    <t xml:space="preserve">2.  SUCCESSION — BARÈME PROGRESSIF DES DROITS (art. 777 CGI)</t>
  </si>
  <si>
    <t xml:space="preserve">Seuil bas de tranche (€)</t>
  </si>
  <si>
    <t xml:space="preserve">Taux de la tranche</t>
  </si>
  <si>
    <t xml:space="preserve">Taux de la tranche précédente (calculé)</t>
  </si>
  <si>
    <t xml:space="preserve">Les droits sont calculés par : SOMMEPROD((catégorie)×(base&gt;seuil)×(base−seuil)×(taux−taux précédent)). Ajouter une tranche = insérer une ligne DANS le tableau et étendre les plages nommées.</t>
  </si>
  <si>
    <t xml:space="preserve">3.  BARÈME FISCAL DE L'USUFRUIT ET DE LA NUE-PROPRIÉTÉ (art. 669 CGI)</t>
  </si>
  <si>
    <t xml:space="preserve">Âge révolu de l'usufruitier — de</t>
  </si>
  <si>
    <t xml:space="preserve">… à</t>
  </si>
  <si>
    <t xml:space="preserve">Valeur de l'usufruit</t>
  </si>
  <si>
    <t xml:space="preserve">Valeur de la nue-propriété</t>
  </si>
  <si>
    <t xml:space="preserve">Barème applicable à l'usufruit viager. L'usufruit à durée fixe se valorise à 23 % par période de 10 ans (plafonné à la valeur de l'usufruit viager).</t>
  </si>
  <si>
    <t xml:space="preserve">4.  SUCCESSION — AUTRES PARAMÈTRES</t>
  </si>
  <si>
    <t xml:space="preserve">Abattement supplémentaire personne handicapée</t>
  </si>
  <si>
    <t xml:space="preserve">Art. 779 II CGI — cumulable avec l'abattement personnel.</t>
  </si>
  <si>
    <t xml:space="preserve">Abattement sur la résidence principale</t>
  </si>
  <si>
    <t xml:space="preserve">Art. 764 bis CGI — si occupée par le conjoint/partenaire ou un enfant mineur ou majeur protégé.</t>
  </si>
  <si>
    <t xml:space="preserve">Forfait mobilier (présomption)</t>
  </si>
  <si>
    <t xml:space="preserve">Art. 764 I 3° CGI — 5 % de l'actif brut, sauf inventaire ou déclaration détaillée.</t>
  </si>
  <si>
    <t xml:space="preserve">Frais funéraires déductibles (forfait)</t>
  </si>
  <si>
    <t xml:space="preserve">Art. 775 CGI.</t>
  </si>
  <si>
    <t xml:space="preserve">Délai de rappel fiscal des donations</t>
  </si>
  <si>
    <t xml:space="preserve">Art. 784 CGI — en années.</t>
  </si>
  <si>
    <t xml:space="preserve">Don familial de sommes d'argent (exonération)</t>
  </si>
  <si>
    <t xml:space="preserve">Art. 790 G CGI — donateur de moins de 80 ans, donataire majeur, renouvelable tous les 15 ans.</t>
  </si>
  <si>
    <t xml:space="preserve">5.  ASSURANCE-VIE — FISCALITÉ DU CAPITAL DÉCÈS</t>
  </si>
  <si>
    <t xml:space="preserve">Abattement par bénéficiaire (primes versées avant 70 ans)</t>
  </si>
  <si>
    <t xml:space="preserve">Art. 990 I CGI — abattement individuel, tous contrats confondus.</t>
  </si>
  <si>
    <t xml:space="preserve">Seuil de la 2e tranche du prélèvement 990 I</t>
  </si>
  <si>
    <t xml:space="preserve">Fraction taxable par bénéficiaire, après abattement.</t>
  </si>
  <si>
    <t xml:space="preserve">Taux 990 I — 1re tranche</t>
  </si>
  <si>
    <t xml:space="preserve">Art. 990 I CGI.</t>
  </si>
  <si>
    <t xml:space="preserve">Taux 990 I — 2e tranche</t>
  </si>
  <si>
    <t xml:space="preserve">Abattement global (primes versées après 70 ans)</t>
  </si>
  <si>
    <t xml:space="preserve">Art. 757 B CGI — abattement GLOBAL sur les primes, réparti entre les bénéficiaires au prorata. Les produits capitalisés restent exonérés.</t>
  </si>
  <si>
    <t xml:space="preserve">Le conjoint survivant et le partenaire de PACS bénéficiaires sont exonérés dans les deux régimes.</t>
  </si>
  <si>
    <t xml:space="preserve">6.  BARÈME DE L'IMPÔT SUR LE REVENU (pour le calcul de la TMI)</t>
  </si>
  <si>
    <t xml:space="preserve">Tranche — seuil bas par part (€)</t>
  </si>
  <si>
    <t xml:space="preserve">Taux</t>
  </si>
  <si>
    <t xml:space="preserve">Taux tranche précédente (calculé)</t>
  </si>
  <si>
    <t xml:space="preserve">Commentaire</t>
  </si>
  <si>
    <t xml:space="preserve">Barème indiqué pour les revenus 2024 (impôt 2025) — à actualiser chaque année. Le plafonnement des effets du quotient familial n'est pas modélisé.</t>
  </si>
  <si>
    <t xml:space="preserve">7.  RETRAITE — CALENDRIER LÉGAL PAR GÉNÉRATION</t>
  </si>
  <si>
    <t xml:space="preserve">⚠️  Calendrier issu de la réforme du 14 avril 2023. Le décalage progressif de l'âge légal a fait l'objet de mesures de suspension discutées fin 2025 : VÉRIFIEZ le calendrier applicable sur info-retraite.fr et corrigez ce tableau le cas échéant.</t>
  </si>
  <si>
    <t xml:space="preserve">62,25 = 62 ans et 3 mois. Génération 1961 : 62 ans / 168 trimestres pour les personnes nées avant le 1er septembre 1961 — corriger la ligne si besoin.</t>
  </si>
  <si>
    <t xml:space="preserve">8.  RETRAITE — RÉGIME GÉNÉRAL (CNAV)</t>
  </si>
  <si>
    <t xml:space="preserve">Taux plein de liquidation</t>
  </si>
  <si>
    <t xml:space="preserve">50 % du salaire annuel moyen.</t>
  </si>
  <si>
    <t xml:space="preserve">Décote par trimestre manquant</t>
  </si>
  <si>
    <t xml:space="preserve">1,25 point par trimestre, dans la limite de 20 trimestres.</t>
  </si>
  <si>
    <t xml:space="preserve">Nombre maximal de trimestres de décote</t>
  </si>
  <si>
    <t xml:space="preserve">Taux plancher : 37,5 %.</t>
  </si>
  <si>
    <t xml:space="preserve">Surcote par trimestre supplémentaire</t>
  </si>
  <si>
    <t xml:space="preserve">Trimestres cotisés au-delà de la durée requise ET de l'âge légal.</t>
  </si>
  <si>
    <t xml:space="preserve">Plafond annuel de la Sécurité sociale (PASS)</t>
  </si>
  <si>
    <t xml:space="preserve">Valeur 2026 — à actualiser chaque 1er janvier.</t>
  </si>
  <si>
    <t xml:space="preserve">PASS de l'année précédente (pour le plafond PER)</t>
  </si>
  <si>
    <t xml:space="preserve">Valeur 2025.</t>
  </si>
  <si>
    <t xml:space="preserve">Nombre d'années retenues pour le salaire annuel moyen</t>
  </si>
  <si>
    <t xml:space="preserve">25 meilleures années, chacune plafonnée au PASS de l'année considérée.</t>
  </si>
  <si>
    <t xml:space="preserve">Majoration de pension pour 3 enfants et plus</t>
  </si>
  <si>
    <t xml:space="preserve">Régime de base — majoration imposable.</t>
  </si>
  <si>
    <t xml:space="preserve">9.  RETRAITE — COMPLÉMENTAIRE AGIRC-ARRCO</t>
  </si>
  <si>
    <t xml:space="preserve">Valeur d'achat du point (salaire de référence)</t>
  </si>
  <si>
    <t xml:space="preserve">Valeur 2025 — à actualiser sur agirc-arrco.fr.</t>
  </si>
  <si>
    <t xml:space="preserve">Valeur de service du point</t>
  </si>
  <si>
    <t xml:space="preserve">Taux de calcul des points — tranche 1 (≤ 1 PASS)</t>
  </si>
  <si>
    <t xml:space="preserve">Taux contractuel. Le taux réellement prélevé est de 7,87 % (taux d'appel de 127 %).</t>
  </si>
  <si>
    <t xml:space="preserve">Taux de calcul des points — tranche 2 (1 à 8 PASS)</t>
  </si>
  <si>
    <t xml:space="preserve">Taux contractuel. Taux réellement prélevé : 21,59 %.</t>
  </si>
  <si>
    <t xml:space="preserve">Majoration familiale (3 enfants et plus)</t>
  </si>
  <si>
    <t xml:space="preserve">Sur la pension complémentaire, plafonnée.</t>
  </si>
  <si>
    <t xml:space="preserve">Plafond annuel de la majoration familiale</t>
  </si>
  <si>
    <t xml:space="preserve">Appliquer les coefficients majorants de report (1 = oui)</t>
  </si>
  <si>
    <t xml:space="preserve">Majoration de 10 % / 20 % / 30 % pour un départ décalé de 2 / 3 / 4 ans après le taux plein — avantage TEMPORAIRE (1 an). Désactivé par défaut pour ne pas surestimer la pension. Le coefficient minorant de 10 % est supprimé pour les départs postérieurs au 01/12/2023.</t>
  </si>
  <si>
    <t xml:space="preserve">10.  PRÉLÈVEMENTS SOCIAUX SUR LES PENSIONS</t>
  </si>
  <si>
    <t xml:space="preserve">CSG (taux normal)</t>
  </si>
  <si>
    <t xml:space="preserve">Taux réduit 3,8 % / taux médian 6,6 % selon le revenu fiscal de référence.</t>
  </si>
  <si>
    <t xml:space="preserve">CRDS</t>
  </si>
  <si>
    <t xml:space="preserve">CASA</t>
  </si>
  <si>
    <t xml:space="preserve">Contribution additionnelle de solidarité pour l'autonomie.</t>
  </si>
  <si>
    <t xml:space="preserve">Cotisation maladie sur la retraite complémentaire</t>
  </si>
  <si>
    <t xml:space="preserve">Taux global sur la pension de base</t>
  </si>
  <si>
    <t xml:space="preserve">Taux global sur la pension complémentaire</t>
  </si>
  <si>
    <t xml:space="preserve">11.  HYPOTHÈSES FINANCIÈRES DE PROJECTION</t>
  </si>
  <si>
    <t xml:space="preserve">Inflation annuelle retenue</t>
  </si>
  <si>
    <t xml:space="preserve">Sert à raisonner en euros constants. Hypothèse de l'utilisateur.</t>
  </si>
  <si>
    <t xml:space="preserve">Rendement annuel net — phase de constitution</t>
  </si>
  <si>
    <t xml:space="preserve">Net de frais de gestion, brut de fiscalité. Hypothèse de l'utilisateur — non contractuel.</t>
  </si>
  <si>
    <t xml:space="preserve">Rendement annuel net — phase de restitution</t>
  </si>
  <si>
    <t xml:space="preserve">Allocation prudente une fois à la retraite. Hypothèse de l'utilisateur.</t>
  </si>
  <si>
    <t xml:space="preserve">Progression annuelle des salaires</t>
  </si>
  <si>
    <t xml:space="preserve">Hypothèse de l'utilisateur.</t>
  </si>
  <si>
    <t xml:space="preserve">Âge retenu pour la fin du besoin de revenu</t>
  </si>
  <si>
    <t xml:space="preserve">Prudence : au-delà de l'espérance de vie moyenne. Hypothèse de l'utilisateur.</t>
  </si>
  <si>
    <t xml:space="preserve">Taux de conversion en rente viagère</t>
  </si>
  <si>
    <t xml:space="preserve">Ordre de grandeur d'une rente immédiate à 64-65 ans, sans réversion. À confirmer auprès de l'assureur.</t>
  </si>
  <si>
    <t xml:space="preserve">Coefficient de passage salaire actuel → SAM</t>
  </si>
  <si>
    <t xml:space="preserve">Les 25 meilleures années sont en moyenne inférieures au dernier salaire. Hypothèse d'approximation — à remplacer par le SAM du relevé de carrière dès que possible.</t>
  </si>
  <si>
    <t xml:space="preserve">12.  PLAFOND DE DÉDUCTION DU PLAN D'ÉPARGNE RETRAITE (PER)</t>
  </si>
  <si>
    <t xml:space="preserve">Taux de déduction des revenus professionnels</t>
  </si>
  <si>
    <t xml:space="preserve">Art. 163 quatervicies CGI — salariés.</t>
  </si>
  <si>
    <t xml:space="preserve">Plafond exprimé en PASS N-1</t>
  </si>
  <si>
    <t xml:space="preserve">10 % de 8 PASS N-1.</t>
  </si>
  <si>
    <t xml:space="preserve">Plancher exprimé en PASS N-1</t>
  </si>
  <si>
    <t xml:space="preserve">10 % du PASS N-1.</t>
  </si>
  <si>
    <t xml:space="preserve">Prélèvement forfaitaire unique (PFU)</t>
  </si>
  <si>
    <t xml:space="preserve">12,8 % IR + 17,2 % prélèvements sociaux.</t>
  </si>
  <si>
    <t xml:space="preserve">Prélèvements sociaux sur les produits de placement</t>
  </si>
  <si>
    <t xml:space="preserve">Taux réduit assurance-vie après 8 ans (≤ 150 k€ de primes)</t>
  </si>
  <si>
    <t xml:space="preserve">Hors prélèvements sociaux, après abattement annuel de 4 600 € / 9 200 €.</t>
  </si>
  <si>
    <t xml:space="preserve">Abattement annuel assurance-vie après 8 ans (couple)</t>
  </si>
  <si>
    <t xml:space="preserve">4 600 € pour une personne seule.</t>
  </si>
</sst>
</file>

<file path=xl/styles.xml><?xml version="1.0" encoding="utf-8"?>
<styleSheet xmlns="http://schemas.openxmlformats.org/spreadsheetml/2006/main">
  <numFmts count="9">
    <numFmt numFmtId="164" formatCode="General"/>
    <numFmt numFmtId="165" formatCode="dd/mm/yyyy"/>
    <numFmt numFmtId="166" formatCode="#,##0;[RED]\-#,##0;\-"/>
    <numFmt numFmtId="167" formatCode="#,##0&quot; €&quot;;[RED]\-#,##0&quot; €&quot;;\-"/>
    <numFmt numFmtId="168" formatCode="#,##0.00"/>
    <numFmt numFmtId="169" formatCode="0.0%;[RED]\-0.0%;\-"/>
    <numFmt numFmtId="170" formatCode="0.00%;[RED]\-0.00%;\-"/>
    <numFmt numFmtId="171" formatCode="0.0000%"/>
    <numFmt numFmtId="172" formatCode="#,##0.0000&quot; €&quot;"/>
  </numFmts>
  <fonts count="25">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808080"/>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1"/>
      <color rgb="FFFFFFFF"/>
      <name val="Arial"/>
      <family val="0"/>
      <charset val="1"/>
    </font>
    <font>
      <b val="true"/>
      <sz val="10"/>
      <color rgb="FFC00000"/>
      <name val="Arial"/>
      <family val="0"/>
      <charset val="1"/>
    </font>
    <font>
      <b val="true"/>
      <sz val="9"/>
      <color rgb="FF1F3864"/>
      <name val="Arial"/>
      <family val="0"/>
      <charset val="1"/>
    </font>
    <font>
      <b val="true"/>
      <sz val="10"/>
      <color rgb="FF000000"/>
      <name val="Arial"/>
      <family val="0"/>
      <charset val="1"/>
    </font>
    <font>
      <sz val="9"/>
      <color rgb="FF000000"/>
      <name val="Arial"/>
      <family val="0"/>
      <charset val="1"/>
    </font>
    <font>
      <i val="true"/>
      <sz val="10"/>
      <color rgb="FF808080"/>
      <name val="Arial"/>
      <family val="0"/>
      <charset val="1"/>
    </font>
    <font>
      <i val="true"/>
      <sz val="8"/>
      <color rgb="FF808080"/>
      <name val="Arial"/>
      <family val="0"/>
      <charset val="1"/>
    </font>
    <font>
      <i val="true"/>
      <sz val="10"/>
      <color rgb="FF000000"/>
      <name val="Arial"/>
      <family val="0"/>
      <charset val="1"/>
    </font>
    <font>
      <i val="true"/>
      <sz val="10"/>
      <color rgb="FFC00000"/>
      <name val="Arial"/>
      <family val="0"/>
      <charset val="1"/>
    </font>
    <font>
      <sz val="10"/>
      <name val="Arial"/>
      <family val="2"/>
    </font>
    <font>
      <b val="true"/>
      <sz val="9"/>
      <color rgb="FFC00000"/>
      <name val="Arial"/>
      <family val="0"/>
      <charset val="1"/>
    </font>
    <font>
      <i val="true"/>
      <sz val="9"/>
      <color rgb="FF000000"/>
      <name val="Arial"/>
      <family val="0"/>
      <charset val="1"/>
    </font>
    <font>
      <sz val="8"/>
      <color rgb="FF000000"/>
      <name val="Arial"/>
      <family val="0"/>
      <charset val="1"/>
    </font>
    <font>
      <b val="true"/>
      <sz val="10"/>
      <color rgb="FF008000"/>
      <name val="Arial"/>
      <family val="0"/>
      <charset val="1"/>
    </font>
    <font>
      <sz val="9"/>
      <color rgb="FFC00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5C9A"/>
        <bgColor rgb="FF333399"/>
      </patternFill>
    </fill>
    <fill>
      <patternFill patternType="solid">
        <fgColor rgb="FFFFF2CC"/>
        <bgColor rgb="FFFCE4D6"/>
      </patternFill>
    </fill>
    <fill>
      <patternFill patternType="solid">
        <fgColor rgb="FFFCE4D6"/>
        <bgColor rgb="FFFFF2CC"/>
      </patternFill>
    </fill>
    <fill>
      <patternFill patternType="solid">
        <fgColor rgb="FFD9E2F3"/>
        <bgColor rgb="FFE7E6E6"/>
      </patternFill>
    </fill>
    <fill>
      <patternFill patternType="solid">
        <fgColor rgb="FFE7E6E6"/>
        <bgColor rgb="FFD9E2F3"/>
      </patternFill>
    </fill>
    <fill>
      <patternFill patternType="solid">
        <fgColor rgb="FFF2F2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6"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6" fontId="13" fillId="0" borderId="0" xfId="0" applyFont="true" applyBorder="false" applyAlignment="true" applyProtection="false">
      <alignment horizontal="center"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7" fontId="7" fillId="0" borderId="0" xfId="0" applyFont="true" applyBorder="false" applyAlignment="true" applyProtection="false">
      <alignment horizontal="center" vertical="center" textRotation="0" wrapText="false" indent="0" shrinkToFit="false"/>
      <protection locked="true" hidden="false"/>
    </xf>
    <xf numFmtId="169" fontId="7" fillId="0" borderId="0" xfId="0" applyFont="true" applyBorder="false" applyAlignment="true" applyProtection="false">
      <alignment horizontal="center" vertical="center" textRotation="0" wrapText="false" indent="0" shrinkToFit="false"/>
      <protection locked="true" hidden="false"/>
    </xf>
    <xf numFmtId="169" fontId="10" fillId="2"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right" vertical="center"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7" fontId="13" fillId="7" borderId="1" xfId="0" applyFont="true" applyBorder="true" applyAlignment="true" applyProtection="false">
      <alignment horizontal="right" vertical="center" textRotation="0" wrapText="false" indent="0" shrinkToFit="false"/>
      <protection locked="true" hidden="false"/>
    </xf>
    <xf numFmtId="167" fontId="10" fillId="2" borderId="1" xfId="0" applyFont="true" applyBorder="tru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7" fontId="9"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9" fontId="13" fillId="7"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7" fontId="13"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70" fontId="9" fillId="0" borderId="0" xfId="0" applyFont="true" applyBorder="fals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7" fontId="13" fillId="0" borderId="1" xfId="0" applyFont="true" applyBorder="tru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70" fontId="8" fillId="4" borderId="1" xfId="0" applyFont="true" applyBorder="true" applyAlignment="true" applyProtection="false">
      <alignment horizontal="center"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8" fontId="7"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8" fontId="10" fillId="2" borderId="1" xfId="0" applyFont="true" applyBorder="true" applyAlignment="true" applyProtection="false">
      <alignment horizontal="center" vertical="center" textRotation="0" wrapText="false" indent="0" shrinkToFit="false"/>
      <protection locked="true" hidden="false"/>
    </xf>
    <xf numFmtId="166" fontId="13" fillId="8"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70" fontId="13" fillId="8"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13" fillId="8"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8" fontId="13" fillId="8" borderId="1" xfId="0" applyFont="true" applyBorder="true" applyAlignment="true" applyProtection="false">
      <alignment horizontal="center" vertical="center" textRotation="0" wrapText="false" indent="0" shrinkToFit="false"/>
      <protection locked="true" hidden="false"/>
    </xf>
    <xf numFmtId="167" fontId="13" fillId="7" borderId="1" xfId="0" applyFont="true" applyBorder="true" applyAlignment="true" applyProtection="false">
      <alignment horizontal="center" vertical="center" textRotation="0" wrapText="false" indent="0" shrinkToFit="false"/>
      <protection locked="true" hidden="false"/>
    </xf>
    <xf numFmtId="168" fontId="9" fillId="0" borderId="0" xfId="0" applyFont="true" applyBorder="false" applyAlignment="true" applyProtection="false">
      <alignment horizontal="center" vertical="center" textRotation="0" wrapText="false" indent="0" shrinkToFit="false"/>
      <protection locked="true" hidden="false"/>
    </xf>
    <xf numFmtId="170" fontId="9" fillId="0" borderId="0" xfId="0" applyFont="true" applyBorder="fals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center" vertical="center" textRotation="0" wrapText="false" indent="0" shrinkToFit="false"/>
      <protection locked="true" hidden="false"/>
    </xf>
    <xf numFmtId="171" fontId="7" fillId="0" borderId="0" xfId="0" applyFont="true" applyBorder="false" applyAlignment="true" applyProtection="false">
      <alignment horizontal="center" vertical="center" textRotation="0" wrapText="false" indent="0" shrinkToFit="false"/>
      <protection locked="true" hidden="false"/>
    </xf>
    <xf numFmtId="169" fontId="9" fillId="0" borderId="0" xfId="0" applyFont="true" applyBorder="fals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23"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72" fontId="8" fillId="4" borderId="1" xfId="0" applyFont="true" applyBorder="true" applyAlignment="true" applyProtection="false">
      <alignment horizontal="center" vertical="center" textRotation="0" wrapText="false" indent="0" shrinkToFit="false"/>
      <protection locked="true" hidden="false"/>
    </xf>
    <xf numFmtId="170" fontId="13"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7A4D"/>
      <rgbColor rgb="FFBFBFBF"/>
      <rgbColor rgb="FF808080"/>
      <rgbColor rgb="FF9999FF"/>
      <rgbColor rgb="FF7030A0"/>
      <rgbColor rgb="FFFFF2CC"/>
      <rgbColor rgb="FFF2F2F2"/>
      <rgbColor rgb="FF660066"/>
      <rgbColor rgb="FFFF8080"/>
      <rgbColor rgb="FF2E5C9A"/>
      <rgbColor rgb="FFD9E2F3"/>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CE4D6"/>
      <rgbColor rgb="FF3366FF"/>
      <rgbColor rgb="FF33CCCC"/>
      <rgbColor rgb="FF99CC00"/>
      <rgbColor rgb="FFFFCC00"/>
      <rgbColor rgb="FFFF9900"/>
      <rgbColor rgb="FFC55A11"/>
      <rgbColor rgb="FF666699"/>
      <rgbColor rgb="FF7F7F7F"/>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E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5" min="3" style="0" width="46"/>
    <col collapsed="false" customWidth="true" hidden="false" outlineLevel="0" max="6" min="6" style="0" width="4"/>
  </cols>
  <sheetData>
    <row r="1" customFormat="false" ht="30" hidden="false" customHeight="true" outlineLevel="0" collapsed="false">
      <c r="A1" s="1" t="s">
        <v>0</v>
      </c>
      <c r="B1" s="2"/>
      <c r="C1" s="2"/>
      <c r="D1" s="2"/>
      <c r="E1" s="2"/>
    </row>
    <row r="2" customFormat="false" ht="13.5" hidden="false" customHeight="true" outlineLevel="0" collapsed="false">
      <c r="A2" s="3" t="s">
        <v>1</v>
      </c>
    </row>
    <row r="4" customFormat="false" ht="19.5" hidden="false" customHeight="true" outlineLevel="0" collapsed="false">
      <c r="A4" s="4" t="s">
        <v>2</v>
      </c>
      <c r="B4" s="5"/>
      <c r="C4" s="5"/>
      <c r="D4" s="5"/>
      <c r="E4" s="5"/>
    </row>
    <row r="5" customFormat="false" ht="51.75" hidden="false" customHeight="true" outlineLevel="0" collapsed="false">
      <c r="B5" s="6" t="s">
        <v>3</v>
      </c>
      <c r="C5" s="7" t="s">
        <v>4</v>
      </c>
      <c r="D5" s="7"/>
      <c r="E5" s="7"/>
    </row>
    <row r="6" customFormat="false" ht="51.75" hidden="false" customHeight="true" outlineLevel="0" collapsed="false">
      <c r="B6" s="6" t="s">
        <v>3</v>
      </c>
      <c r="C6" s="7" t="s">
        <v>5</v>
      </c>
      <c r="D6" s="7"/>
      <c r="E6" s="7"/>
    </row>
    <row r="7" customFormat="false" ht="51.75" hidden="false" customHeight="true" outlineLevel="0" collapsed="false">
      <c r="B7" s="6" t="s">
        <v>3</v>
      </c>
      <c r="C7" s="7" t="s">
        <v>6</v>
      </c>
      <c r="D7" s="7"/>
      <c r="E7" s="7"/>
    </row>
    <row r="8" customFormat="false" ht="51.75" hidden="false" customHeight="true" outlineLevel="0" collapsed="false">
      <c r="B8" s="6" t="s">
        <v>3</v>
      </c>
      <c r="C8" s="7" t="s">
        <v>7</v>
      </c>
      <c r="D8" s="7"/>
      <c r="E8" s="7"/>
    </row>
    <row r="10" customFormat="false" ht="19.5" hidden="false" customHeight="true" outlineLevel="0" collapsed="false">
      <c r="A10" s="4" t="s">
        <v>8</v>
      </c>
      <c r="B10" s="5"/>
      <c r="C10" s="5"/>
      <c r="D10" s="5"/>
      <c r="E10" s="5"/>
    </row>
    <row r="11" customFormat="false" ht="15" hidden="false" customHeight="false" outlineLevel="0" collapsed="false">
      <c r="B11" s="8" t="s">
        <v>9</v>
      </c>
      <c r="C11" s="9" t="s">
        <v>10</v>
      </c>
    </row>
    <row r="12" customFormat="false" ht="15" hidden="false" customHeight="false" outlineLevel="0" collapsed="false">
      <c r="B12" s="10" t="s">
        <v>11</v>
      </c>
      <c r="C12" s="9" t="s">
        <v>12</v>
      </c>
    </row>
    <row r="13" customFormat="false" ht="15" hidden="false" customHeight="false" outlineLevel="0" collapsed="false">
      <c r="B13" s="11" t="s">
        <v>13</v>
      </c>
      <c r="C13" s="9" t="s">
        <v>14</v>
      </c>
    </row>
    <row r="14" customFormat="false" ht="15" hidden="false" customHeight="false" outlineLevel="0" collapsed="false">
      <c r="B14" s="12" t="s">
        <v>15</v>
      </c>
      <c r="C14" s="9" t="s">
        <v>16</v>
      </c>
    </row>
    <row r="15" customFormat="false" ht="15" hidden="false" customHeight="false" outlineLevel="0" collapsed="false">
      <c r="B15" s="13" t="s">
        <v>17</v>
      </c>
      <c r="C15" s="9" t="s">
        <v>18</v>
      </c>
    </row>
    <row r="17" customFormat="false" ht="19.5" hidden="false" customHeight="true" outlineLevel="0" collapsed="false">
      <c r="A17" s="4" t="s">
        <v>19</v>
      </c>
      <c r="B17" s="5"/>
      <c r="C17" s="5"/>
      <c r="D17" s="5"/>
      <c r="E17" s="5"/>
    </row>
    <row r="18" customFormat="false" ht="27.75" hidden="false" customHeight="true" outlineLevel="0" collapsed="false">
      <c r="B18" s="14" t="s">
        <v>20</v>
      </c>
      <c r="C18" s="14" t="s">
        <v>21</v>
      </c>
      <c r="D18" s="14" t="s">
        <v>22</v>
      </c>
      <c r="E18" s="14" t="s">
        <v>23</v>
      </c>
    </row>
    <row r="19" customFormat="false" ht="55.5" hidden="false" customHeight="true" outlineLevel="0" collapsed="false">
      <c r="B19" s="15" t="s">
        <v>24</v>
      </c>
      <c r="C19" s="16" t="s">
        <v>25</v>
      </c>
      <c r="D19" s="16" t="s">
        <v>26</v>
      </c>
      <c r="E19" s="16" t="s">
        <v>27</v>
      </c>
    </row>
    <row r="20" customFormat="false" ht="55.5" hidden="false" customHeight="true" outlineLevel="0" collapsed="false">
      <c r="B20" s="15" t="s">
        <v>28</v>
      </c>
      <c r="C20" s="16" t="s">
        <v>29</v>
      </c>
      <c r="D20" s="16" t="s">
        <v>30</v>
      </c>
      <c r="E20" s="16" t="s">
        <v>31</v>
      </c>
    </row>
    <row r="21" customFormat="false" ht="55.5" hidden="false" customHeight="true" outlineLevel="0" collapsed="false">
      <c r="B21" s="15" t="s">
        <v>32</v>
      </c>
      <c r="C21" s="16" t="s">
        <v>33</v>
      </c>
      <c r="D21" s="16" t="s">
        <v>34</v>
      </c>
      <c r="E21" s="16" t="s">
        <v>35</v>
      </c>
    </row>
    <row r="22" customFormat="false" ht="55.5" hidden="false" customHeight="true" outlineLevel="0" collapsed="false">
      <c r="B22" s="15" t="s">
        <v>36</v>
      </c>
      <c r="C22" s="16" t="s">
        <v>37</v>
      </c>
      <c r="D22" s="16" t="s">
        <v>38</v>
      </c>
      <c r="E22" s="16" t="s">
        <v>39</v>
      </c>
    </row>
    <row r="23" customFormat="false" ht="55.5" hidden="false" customHeight="true" outlineLevel="0" collapsed="false">
      <c r="B23" s="15" t="s">
        <v>40</v>
      </c>
      <c r="C23" s="16" t="s">
        <v>41</v>
      </c>
      <c r="D23" s="16" t="s">
        <v>42</v>
      </c>
      <c r="E23" s="16" t="s">
        <v>43</v>
      </c>
    </row>
    <row r="24" customFormat="false" ht="55.5" hidden="false" customHeight="true" outlineLevel="0" collapsed="false">
      <c r="B24" s="15" t="s">
        <v>44</v>
      </c>
      <c r="C24" s="16" t="s">
        <v>45</v>
      </c>
      <c r="D24" s="16" t="s">
        <v>46</v>
      </c>
      <c r="E24" s="16" t="s">
        <v>47</v>
      </c>
    </row>
    <row r="25" customFormat="false" ht="55.5" hidden="false" customHeight="true" outlineLevel="0" collapsed="false">
      <c r="B25" s="15" t="s">
        <v>48</v>
      </c>
      <c r="C25" s="16" t="s">
        <v>49</v>
      </c>
      <c r="D25" s="16" t="s">
        <v>50</v>
      </c>
      <c r="E25" s="16" t="s">
        <v>51</v>
      </c>
    </row>
    <row r="26" customFormat="false" ht="55.5" hidden="false" customHeight="true" outlineLevel="0" collapsed="false">
      <c r="B26" s="15" t="s">
        <v>52</v>
      </c>
      <c r="C26" s="16" t="s">
        <v>53</v>
      </c>
      <c r="D26" s="16" t="s">
        <v>54</v>
      </c>
      <c r="E26" s="16" t="s">
        <v>55</v>
      </c>
    </row>
    <row r="27" customFormat="false" ht="55.5" hidden="false" customHeight="true" outlineLevel="0" collapsed="false">
      <c r="B27" s="15" t="s">
        <v>56</v>
      </c>
      <c r="C27" s="16" t="s">
        <v>57</v>
      </c>
      <c r="D27" s="16" t="s">
        <v>50</v>
      </c>
      <c r="E27" s="16" t="s">
        <v>58</v>
      </c>
    </row>
    <row r="28" customFormat="false" ht="55.5" hidden="false" customHeight="true" outlineLevel="0" collapsed="false">
      <c r="B28" s="15" t="s">
        <v>59</v>
      </c>
      <c r="C28" s="16" t="s">
        <v>60</v>
      </c>
      <c r="D28" s="16" t="s">
        <v>61</v>
      </c>
      <c r="E28" s="16" t="s">
        <v>62</v>
      </c>
    </row>
    <row r="30" customFormat="false" ht="19.5" hidden="false" customHeight="true" outlineLevel="0" collapsed="false">
      <c r="A30" s="4" t="s">
        <v>63</v>
      </c>
      <c r="B30" s="5"/>
      <c r="C30" s="5"/>
      <c r="D30" s="5"/>
      <c r="E30" s="5"/>
    </row>
    <row r="31" customFormat="false" ht="15" hidden="false" customHeight="false" outlineLevel="0" collapsed="false">
      <c r="B31" s="17" t="s">
        <v>64</v>
      </c>
      <c r="C31" s="9" t="s">
        <v>65</v>
      </c>
    </row>
    <row r="32" customFormat="false" ht="15" hidden="false" customHeight="false" outlineLevel="0" collapsed="false">
      <c r="B32" s="17" t="s">
        <v>66</v>
      </c>
      <c r="C32" s="9" t="s">
        <v>67</v>
      </c>
    </row>
    <row r="33" customFormat="false" ht="15" hidden="false" customHeight="false" outlineLevel="0" collapsed="false">
      <c r="B33" s="17" t="s">
        <v>68</v>
      </c>
      <c r="C33" s="9" t="s">
        <v>69</v>
      </c>
    </row>
    <row r="34" customFormat="false" ht="15" hidden="false" customHeight="false" outlineLevel="0" collapsed="false">
      <c r="B34" s="17" t="s">
        <v>70</v>
      </c>
      <c r="C34" s="9" t="s">
        <v>71</v>
      </c>
    </row>
    <row r="35" customFormat="false" ht="15" hidden="false" customHeight="false" outlineLevel="0" collapsed="false">
      <c r="B35" s="17" t="s">
        <v>72</v>
      </c>
      <c r="C35" s="9" t="s">
        <v>73</v>
      </c>
    </row>
    <row r="36" customFormat="false" ht="15" hidden="false" customHeight="false" outlineLevel="0" collapsed="false">
      <c r="B36" s="17" t="s">
        <v>74</v>
      </c>
      <c r="C36" s="9" t="s">
        <v>75</v>
      </c>
    </row>
    <row r="37" customFormat="false" ht="15" hidden="false" customHeight="false" outlineLevel="0" collapsed="false">
      <c r="B37" s="17" t="s">
        <v>76</v>
      </c>
      <c r="C37" s="9" t="s">
        <v>77</v>
      </c>
    </row>
    <row r="38" customFormat="false" ht="15" hidden="false" customHeight="false" outlineLevel="0" collapsed="false">
      <c r="B38" s="17" t="s">
        <v>78</v>
      </c>
      <c r="C38" s="9" t="s">
        <v>79</v>
      </c>
    </row>
    <row r="40" customFormat="false" ht="19.5" hidden="false" customHeight="true" outlineLevel="0" collapsed="false">
      <c r="A40" s="4" t="s">
        <v>80</v>
      </c>
      <c r="B40" s="5"/>
      <c r="C40" s="5"/>
      <c r="D40" s="5"/>
      <c r="E40" s="5"/>
    </row>
    <row r="41" customFormat="false" ht="15" hidden="false" customHeight="false" outlineLevel="0" collapsed="false">
      <c r="B41" s="17" t="s">
        <v>81</v>
      </c>
      <c r="C41" s="9" t="s">
        <v>82</v>
      </c>
      <c r="D41" s="18" t="s">
        <v>83</v>
      </c>
    </row>
    <row r="42" customFormat="false" ht="15" hidden="false" customHeight="false" outlineLevel="0" collapsed="false">
      <c r="B42" s="17" t="s">
        <v>81</v>
      </c>
      <c r="C42" s="9" t="s">
        <v>84</v>
      </c>
      <c r="D42" s="18" t="s">
        <v>83</v>
      </c>
    </row>
    <row r="43" customFormat="false" ht="15" hidden="false" customHeight="false" outlineLevel="0" collapsed="false">
      <c r="B43" s="17" t="s">
        <v>81</v>
      </c>
      <c r="C43" s="9" t="s">
        <v>85</v>
      </c>
      <c r="D43" s="18" t="s">
        <v>86</v>
      </c>
    </row>
    <row r="44" customFormat="false" ht="15" hidden="false" customHeight="false" outlineLevel="0" collapsed="false">
      <c r="B44" s="17" t="s">
        <v>81</v>
      </c>
      <c r="C44" s="9" t="s">
        <v>87</v>
      </c>
      <c r="D44" s="18" t="s">
        <v>88</v>
      </c>
    </row>
    <row r="45" customFormat="false" ht="15" hidden="false" customHeight="false" outlineLevel="0" collapsed="false">
      <c r="B45" s="17" t="s">
        <v>81</v>
      </c>
      <c r="C45" s="9" t="s">
        <v>89</v>
      </c>
      <c r="D45" s="18" t="s">
        <v>90</v>
      </c>
    </row>
    <row r="46" customFormat="false" ht="15" hidden="false" customHeight="false" outlineLevel="0" collapsed="false">
      <c r="B46" s="17" t="s">
        <v>81</v>
      </c>
      <c r="C46" s="9" t="s">
        <v>91</v>
      </c>
      <c r="D46" s="18" t="s">
        <v>88</v>
      </c>
    </row>
    <row r="47" customFormat="false" ht="15" hidden="false" customHeight="false" outlineLevel="0" collapsed="false">
      <c r="B47" s="17" t="s">
        <v>81</v>
      </c>
      <c r="C47" s="9" t="s">
        <v>92</v>
      </c>
      <c r="D47" s="18" t="s">
        <v>93</v>
      </c>
    </row>
    <row r="48" customFormat="false" ht="15" hidden="false" customHeight="false" outlineLevel="0" collapsed="false">
      <c r="B48" s="17" t="s">
        <v>81</v>
      </c>
      <c r="C48" s="9" t="s">
        <v>94</v>
      </c>
      <c r="D48" s="18" t="s">
        <v>88</v>
      </c>
    </row>
    <row r="50" customFormat="false" ht="19.5" hidden="false" customHeight="true" outlineLevel="0" collapsed="false">
      <c r="A50" s="4" t="s">
        <v>95</v>
      </c>
      <c r="B50" s="5"/>
      <c r="C50" s="5"/>
      <c r="D50" s="5"/>
      <c r="E50" s="5"/>
    </row>
    <row r="51" customFormat="false" ht="55.5" hidden="false" customHeight="true" outlineLevel="0" collapsed="false">
      <c r="B51" s="6" t="s">
        <v>3</v>
      </c>
      <c r="C51" s="19" t="s">
        <v>96</v>
      </c>
      <c r="D51" s="19"/>
      <c r="E51" s="19"/>
    </row>
    <row r="52" customFormat="false" ht="55.5" hidden="false" customHeight="true" outlineLevel="0" collapsed="false">
      <c r="B52" s="6" t="s">
        <v>3</v>
      </c>
      <c r="C52" s="19" t="s">
        <v>97</v>
      </c>
      <c r="D52" s="19"/>
      <c r="E52" s="19"/>
    </row>
    <row r="53" customFormat="false" ht="55.5" hidden="false" customHeight="true" outlineLevel="0" collapsed="false">
      <c r="B53" s="6" t="s">
        <v>3</v>
      </c>
      <c r="C53" s="19" t="s">
        <v>98</v>
      </c>
      <c r="D53" s="19"/>
      <c r="E53" s="19"/>
    </row>
    <row r="54" customFormat="false" ht="55.5" hidden="false" customHeight="true" outlineLevel="0" collapsed="false">
      <c r="B54" s="6" t="s">
        <v>3</v>
      </c>
      <c r="C54" s="19" t="s">
        <v>99</v>
      </c>
      <c r="D54" s="19"/>
      <c r="E54" s="19"/>
    </row>
  </sheetData>
  <mergeCells count="8">
    <mergeCell ref="C5:E5"/>
    <mergeCell ref="C6:E6"/>
    <mergeCell ref="C7:E7"/>
    <mergeCell ref="C8:E8"/>
    <mergeCell ref="C51:E51"/>
    <mergeCell ref="C52:E52"/>
    <mergeCell ref="C53:E53"/>
    <mergeCell ref="C54:E5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true"/>
  </sheetPr>
  <dimension ref="A1:I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5" min="3" style="0" width="26"/>
    <col collapsed="false" customWidth="true" hidden="false" outlineLevel="0" max="6" min="6" style="0" width="14"/>
    <col collapsed="false" customWidth="true" hidden="false" outlineLevel="0" max="7" min="7" style="0" width="20"/>
    <col collapsed="false" customWidth="true" hidden="false" outlineLevel="0" max="8" min="8" style="0" width="4"/>
    <col collapsed="false" customWidth="true" hidden="false" outlineLevel="0" max="9" min="9" style="0" width="60"/>
  </cols>
  <sheetData>
    <row r="1" customFormat="false" ht="30" hidden="false" customHeight="true" outlineLevel="0" collapsed="false">
      <c r="A1" s="1" t="s">
        <v>100</v>
      </c>
      <c r="B1" s="2"/>
      <c r="C1" s="2"/>
      <c r="D1" s="2"/>
      <c r="E1" s="2"/>
      <c r="F1" s="2"/>
      <c r="G1" s="2"/>
    </row>
    <row r="2" customFormat="false" ht="13.5" hidden="false" customHeight="true" outlineLevel="0" collapsed="false">
      <c r="A2" s="3" t="s">
        <v>101</v>
      </c>
    </row>
    <row r="4" customFormat="false" ht="19.5" hidden="false" customHeight="true" outlineLevel="0" collapsed="false">
      <c r="A4" s="4" t="s">
        <v>102</v>
      </c>
      <c r="B4" s="5"/>
      <c r="C4" s="5"/>
      <c r="D4" s="5"/>
      <c r="E4" s="5"/>
      <c r="F4" s="5"/>
      <c r="G4" s="5"/>
    </row>
    <row r="5" customFormat="false" ht="15" hidden="false" customHeight="false" outlineLevel="0" collapsed="false">
      <c r="B5" s="9" t="s">
        <v>103</v>
      </c>
      <c r="C5" s="20" t="n">
        <f aca="true">TODAY()</f>
        <v>46275</v>
      </c>
      <c r="E5" s="21" t="s">
        <v>104</v>
      </c>
    </row>
    <row r="6" customFormat="false" ht="15" hidden="false" customHeight="false" outlineLevel="0" collapsed="false">
      <c r="B6" s="9" t="s">
        <v>105</v>
      </c>
      <c r="C6" s="22"/>
    </row>
    <row r="7" customFormat="false" ht="15" hidden="false" customHeight="false" outlineLevel="0" collapsed="false">
      <c r="B7" s="9" t="s">
        <v>106</v>
      </c>
      <c r="C7" s="22"/>
    </row>
    <row r="9" customFormat="false" ht="19.5" hidden="false" customHeight="true" outlineLevel="0" collapsed="false">
      <c r="A9" s="4" t="s">
        <v>107</v>
      </c>
      <c r="B9" s="5"/>
      <c r="C9" s="5"/>
      <c r="D9" s="5"/>
      <c r="E9" s="5"/>
      <c r="F9" s="5"/>
      <c r="G9" s="5"/>
    </row>
    <row r="10" customFormat="false" ht="27.75" hidden="false" customHeight="true" outlineLevel="0" collapsed="false">
      <c r="B10" s="14"/>
      <c r="C10" s="14" t="s">
        <v>108</v>
      </c>
      <c r="D10" s="14" t="s">
        <v>109</v>
      </c>
      <c r="E10" s="14"/>
    </row>
    <row r="11" customFormat="false" ht="15" hidden="false" customHeight="false" outlineLevel="0" collapsed="false">
      <c r="B11" s="9" t="s">
        <v>110</v>
      </c>
      <c r="C11" s="8" t="s">
        <v>111</v>
      </c>
      <c r="D11" s="8" t="s">
        <v>112</v>
      </c>
    </row>
    <row r="12" customFormat="false" ht="15" hidden="false" customHeight="false" outlineLevel="0" collapsed="false">
      <c r="B12" s="9" t="s">
        <v>113</v>
      </c>
      <c r="C12" s="8" t="s">
        <v>114</v>
      </c>
      <c r="D12" s="8" t="s">
        <v>114</v>
      </c>
    </row>
    <row r="13" customFormat="false" ht="15" hidden="false" customHeight="false" outlineLevel="0" collapsed="false">
      <c r="B13" s="9" t="s">
        <v>115</v>
      </c>
      <c r="C13" s="8" t="s">
        <v>116</v>
      </c>
      <c r="D13" s="8" t="s">
        <v>117</v>
      </c>
    </row>
    <row r="14" customFormat="false" ht="15" hidden="false" customHeight="false" outlineLevel="0" collapsed="false">
      <c r="B14" s="9" t="s">
        <v>118</v>
      </c>
      <c r="C14" s="20" t="n">
        <v>24909</v>
      </c>
      <c r="D14" s="20" t="n">
        <v>26139</v>
      </c>
    </row>
    <row r="15" customFormat="false" ht="15" hidden="false" customHeight="false" outlineLevel="0" collapsed="false">
      <c r="B15" s="23" t="s">
        <v>119</v>
      </c>
      <c r="C15" s="24" t="n">
        <f aca="false">IFERROR(DATEDIF($C$14,DateSimu,"Y"),"")</f>
        <v>58</v>
      </c>
      <c r="D15" s="24" t="n">
        <f aca="false">IFERROR(DATEDIF($D$14,DateSimu,"Y"),"")</f>
        <v>55</v>
      </c>
    </row>
    <row r="16" customFormat="false" ht="15" hidden="false" customHeight="false" outlineLevel="0" collapsed="false">
      <c r="B16" s="23" t="s">
        <v>120</v>
      </c>
      <c r="C16" s="25" t="str">
        <f aca="false">TRIM($C$13&amp;" "&amp;$C$12)</f>
        <v>Jean MARTIN</v>
      </c>
      <c r="D16" s="25" t="str">
        <f aca="false">TRIM($D$13&amp;" "&amp;$D$12)</f>
        <v>Sophie MARTIN</v>
      </c>
    </row>
    <row r="17" customFormat="false" ht="15" hidden="false" customHeight="false" outlineLevel="0" collapsed="false">
      <c r="B17" s="9" t="s">
        <v>121</v>
      </c>
      <c r="C17" s="8" t="s">
        <v>122</v>
      </c>
      <c r="D17" s="8" t="s">
        <v>122</v>
      </c>
      <c r="E17" s="21" t="s">
        <v>123</v>
      </c>
    </row>
    <row r="19" customFormat="false" ht="19.5" hidden="false" customHeight="true" outlineLevel="0" collapsed="false">
      <c r="A19" s="4" t="s">
        <v>124</v>
      </c>
      <c r="B19" s="5"/>
      <c r="C19" s="5"/>
      <c r="D19" s="5"/>
      <c r="E19" s="5"/>
      <c r="F19" s="5"/>
      <c r="G19" s="5"/>
    </row>
    <row r="20" customFormat="false" ht="15" hidden="false" customHeight="false" outlineLevel="0" collapsed="false">
      <c r="B20" s="9" t="s">
        <v>125</v>
      </c>
      <c r="C20" s="8" t="s">
        <v>126</v>
      </c>
      <c r="E20" s="21" t="s">
        <v>127</v>
      </c>
    </row>
    <row r="21" customFormat="false" ht="15" hidden="false" customHeight="false" outlineLevel="0" collapsed="false">
      <c r="B21" s="9" t="s">
        <v>128</v>
      </c>
      <c r="C21" s="8" t="s">
        <v>129</v>
      </c>
    </row>
    <row r="22" customFormat="false" ht="15" hidden="false" customHeight="false" outlineLevel="0" collapsed="false">
      <c r="B22" s="9" t="s">
        <v>130</v>
      </c>
      <c r="C22" s="20" t="n">
        <v>37786</v>
      </c>
    </row>
    <row r="23" customFormat="false" ht="15" hidden="false" customHeight="false" outlineLevel="0" collapsed="false">
      <c r="B23" s="9" t="s">
        <v>131</v>
      </c>
      <c r="C23" s="8" t="s">
        <v>132</v>
      </c>
      <c r="E23" s="21" t="s">
        <v>133</v>
      </c>
    </row>
    <row r="24" customFormat="false" ht="15" hidden="false" customHeight="false" outlineLevel="0" collapsed="false">
      <c r="B24" s="9" t="s">
        <v>134</v>
      </c>
      <c r="C24" s="8" t="s">
        <v>135</v>
      </c>
    </row>
    <row r="26" customFormat="false" ht="19.5" hidden="false" customHeight="true" outlineLevel="0" collapsed="false">
      <c r="A26" s="4" t="s">
        <v>136</v>
      </c>
      <c r="B26" s="5"/>
      <c r="C26" s="5"/>
      <c r="D26" s="5"/>
      <c r="E26" s="5"/>
      <c r="F26" s="5"/>
      <c r="G26" s="5"/>
    </row>
    <row r="27" customFormat="false" ht="27.75" hidden="false" customHeight="true" outlineLevel="0" collapsed="false">
      <c r="B27" s="14" t="s">
        <v>115</v>
      </c>
      <c r="C27" s="14" t="s">
        <v>118</v>
      </c>
      <c r="D27" s="14" t="s">
        <v>137</v>
      </c>
      <c r="E27" s="14" t="s">
        <v>138</v>
      </c>
      <c r="F27" s="14" t="s">
        <v>139</v>
      </c>
      <c r="G27" s="14" t="s">
        <v>140</v>
      </c>
    </row>
    <row r="28" customFormat="false" ht="15" hidden="false" customHeight="false" outlineLevel="0" collapsed="false">
      <c r="B28" s="22" t="s">
        <v>141</v>
      </c>
      <c r="C28" s="20" t="n">
        <v>34585</v>
      </c>
      <c r="D28" s="26" t="n">
        <f aca="false">IF(C28="","",IFERROR(DATEDIF(C28,DateSimu,"Y"),""))</f>
        <v>32</v>
      </c>
      <c r="E28" s="8" t="s">
        <v>142</v>
      </c>
      <c r="F28" s="8" t="s">
        <v>132</v>
      </c>
      <c r="G28" s="8" t="s">
        <v>135</v>
      </c>
      <c r="I28" s="21" t="s">
        <v>143</v>
      </c>
    </row>
    <row r="29" customFormat="false" ht="15" hidden="false" customHeight="false" outlineLevel="0" collapsed="false">
      <c r="B29" s="22" t="s">
        <v>144</v>
      </c>
      <c r="C29" s="20" t="n">
        <v>37762</v>
      </c>
      <c r="D29" s="26" t="n">
        <f aca="false">IF(C29="","",IFERROR(DATEDIF(C29,DateSimu,"Y"),""))</f>
        <v>23</v>
      </c>
      <c r="E29" s="8" t="s">
        <v>145</v>
      </c>
      <c r="F29" s="8" t="s">
        <v>132</v>
      </c>
      <c r="G29" s="8" t="s">
        <v>135</v>
      </c>
    </row>
    <row r="30" customFormat="false" ht="15" hidden="false" customHeight="false" outlineLevel="0" collapsed="false">
      <c r="B30" s="22" t="s">
        <v>146</v>
      </c>
      <c r="C30" s="20" t="n">
        <v>39024</v>
      </c>
      <c r="D30" s="26" t="n">
        <f aca="false">IF(C30="","",IFERROR(DATEDIF(C30,DateSimu,"Y"),""))</f>
        <v>19</v>
      </c>
      <c r="E30" s="8" t="s">
        <v>145</v>
      </c>
      <c r="F30" s="8" t="s">
        <v>132</v>
      </c>
      <c r="G30" s="8" t="s">
        <v>135</v>
      </c>
    </row>
    <row r="31" customFormat="false" ht="15" hidden="false" customHeight="false" outlineLevel="0" collapsed="false">
      <c r="B31" s="22"/>
      <c r="C31" s="20"/>
      <c r="D31" s="26" t="str">
        <f aca="false">IF(C31="","",IFERROR(DATEDIF(C31,DateSimu,"Y"),""))</f>
        <v/>
      </c>
      <c r="E31" s="8"/>
      <c r="F31" s="8"/>
      <c r="G31" s="8"/>
    </row>
    <row r="32" customFormat="false" ht="15" hidden="false" customHeight="false" outlineLevel="0" collapsed="false">
      <c r="B32" s="22"/>
      <c r="C32" s="20"/>
      <c r="D32" s="26" t="str">
        <f aca="false">IF(C32="","",IFERROR(DATEDIF(C32,DateSimu,"Y"),""))</f>
        <v/>
      </c>
      <c r="E32" s="8"/>
      <c r="F32" s="8"/>
      <c r="G32" s="8"/>
    </row>
    <row r="33" customFormat="false" ht="15" hidden="false" customHeight="false" outlineLevel="0" collapsed="false">
      <c r="B33" s="22"/>
      <c r="C33" s="20"/>
      <c r="D33" s="26" t="str">
        <f aca="false">IF(C33="","",IFERROR(DATEDIF(C33,DateSimu,"Y"),""))</f>
        <v/>
      </c>
      <c r="E33" s="8"/>
      <c r="F33" s="8"/>
      <c r="G33" s="8"/>
    </row>
    <row r="34" customFormat="false" ht="15" hidden="false" customHeight="false" outlineLevel="0" collapsed="false">
      <c r="B34" s="22"/>
      <c r="C34" s="20"/>
      <c r="D34" s="26" t="str">
        <f aca="false">IF(C34="","",IFERROR(DATEDIF(C34,DateSimu,"Y"),""))</f>
        <v/>
      </c>
      <c r="E34" s="8"/>
      <c r="F34" s="8"/>
      <c r="G34" s="8"/>
    </row>
    <row r="35" customFormat="false" ht="15" hidden="false" customHeight="false" outlineLevel="0" collapsed="false">
      <c r="B35" s="22"/>
      <c r="C35" s="20"/>
      <c r="D35" s="26" t="str">
        <f aca="false">IF(C35="","",IFERROR(DATEDIF(C35,DateSimu,"Y"),""))</f>
        <v/>
      </c>
      <c r="E35" s="8"/>
      <c r="F35" s="8"/>
      <c r="G35" s="8"/>
    </row>
    <row r="37" customFormat="false" ht="15" hidden="false" customHeight="false" outlineLevel="0" collapsed="false">
      <c r="B37" s="23" t="s">
        <v>147</v>
      </c>
      <c r="C37" s="24" t="n">
        <f aca="false">COUNTIFS(EnfFiliation,"Commun au couple",EnfVivant,"Oui")</f>
        <v>2</v>
      </c>
    </row>
    <row r="38" customFormat="false" ht="15" hidden="false" customHeight="false" outlineLevel="0" collapsed="false">
      <c r="B38" s="23" t="s">
        <v>148</v>
      </c>
      <c r="C38" s="24" t="n">
        <f aca="false">COUNTIFS(EnfFiliation,"Du client uniquement",EnfVivant,"Oui")</f>
        <v>1</v>
      </c>
    </row>
    <row r="39" customFormat="false" ht="15" hidden="false" customHeight="false" outlineLevel="0" collapsed="false">
      <c r="B39" s="23" t="s">
        <v>149</v>
      </c>
      <c r="C39" s="24" t="n">
        <f aca="false">COUNTIFS(EnfFiliation,"Du conjoint uniquement",EnfVivant,"Oui")</f>
        <v>0</v>
      </c>
    </row>
    <row r="40" customFormat="false" ht="15" hidden="false" customHeight="false" outlineLevel="0" collapsed="false">
      <c r="B40" s="17" t="s">
        <v>150</v>
      </c>
      <c r="C40" s="27" t="n">
        <f aca="false">NbEnfCommuns+NbEnfPropClient</f>
        <v>3</v>
      </c>
    </row>
    <row r="41" customFormat="false" ht="15" hidden="false" customHeight="false" outlineLevel="0" collapsed="false">
      <c r="B41" s="17" t="s">
        <v>151</v>
      </c>
      <c r="C41" s="27" t="n">
        <f aca="false">NbEnfCommuns+NbEnfPropConjoint</f>
        <v>2</v>
      </c>
    </row>
    <row r="43" customFormat="false" ht="19.5" hidden="false" customHeight="true" outlineLevel="0" collapsed="false">
      <c r="A43" s="4" t="s">
        <v>152</v>
      </c>
      <c r="B43" s="5"/>
      <c r="C43" s="5"/>
      <c r="D43" s="5"/>
      <c r="E43" s="5"/>
      <c r="F43" s="5"/>
      <c r="G43" s="5"/>
    </row>
    <row r="44" customFormat="false" ht="27.75" hidden="false" customHeight="true" outlineLevel="0" collapsed="false">
      <c r="B44" s="14"/>
      <c r="C44" s="14" t="s">
        <v>108</v>
      </c>
      <c r="D44" s="14" t="s">
        <v>109</v>
      </c>
      <c r="E44" s="14"/>
    </row>
    <row r="45" customFormat="false" ht="15" hidden="false" customHeight="false" outlineLevel="0" collapsed="false">
      <c r="B45" s="9" t="s">
        <v>153</v>
      </c>
      <c r="C45" s="8" t="s">
        <v>135</v>
      </c>
      <c r="D45" s="8" t="s">
        <v>132</v>
      </c>
    </row>
    <row r="46" customFormat="false" ht="15" hidden="false" customHeight="false" outlineLevel="0" collapsed="false">
      <c r="B46" s="9" t="s">
        <v>154</v>
      </c>
      <c r="C46" s="8" t="s">
        <v>132</v>
      </c>
      <c r="D46" s="8" t="s">
        <v>132</v>
      </c>
    </row>
    <row r="47" customFormat="false" ht="15" hidden="false" customHeight="false" outlineLevel="0" collapsed="false">
      <c r="B47" s="23" t="s">
        <v>155</v>
      </c>
      <c r="C47" s="24" t="n">
        <f aca="false">IF(C45="Oui",1,0)+IF(C46="Oui",1,0)</f>
        <v>1</v>
      </c>
      <c r="D47" s="24" t="n">
        <f aca="false">IF(D45="Oui",1,0)+IF(D46="Oui",1,0)</f>
        <v>2</v>
      </c>
    </row>
    <row r="48" customFormat="false" ht="15" hidden="false" customHeight="false" outlineLevel="0" collapsed="false">
      <c r="B48" s="9" t="s">
        <v>156</v>
      </c>
      <c r="C48" s="28" t="n">
        <v>1</v>
      </c>
      <c r="D48" s="28" t="n">
        <v>2</v>
      </c>
    </row>
    <row r="49" customFormat="false" ht="15" hidden="false" customHeight="false" outlineLevel="0" collapsed="false">
      <c r="B49" s="9" t="s">
        <v>157</v>
      </c>
      <c r="C49" s="28" t="n">
        <v>0</v>
      </c>
      <c r="D49" s="28" t="n">
        <v>0</v>
      </c>
      <c r="E49" s="21" t="s">
        <v>158</v>
      </c>
    </row>
    <row r="51" customFormat="false" ht="19.5" hidden="false" customHeight="true" outlineLevel="0" collapsed="false">
      <c r="A51" s="4" t="s">
        <v>159</v>
      </c>
      <c r="B51" s="5"/>
      <c r="C51" s="5"/>
      <c r="D51" s="5"/>
      <c r="E51" s="5"/>
      <c r="F51" s="5"/>
      <c r="G51" s="5"/>
    </row>
    <row r="52" customFormat="false" ht="27.75" hidden="false" customHeight="true" outlineLevel="0" collapsed="false">
      <c r="B52" s="14"/>
      <c r="C52" s="14" t="s">
        <v>108</v>
      </c>
      <c r="D52" s="14" t="s">
        <v>109</v>
      </c>
      <c r="E52" s="14"/>
    </row>
    <row r="53" customFormat="false" ht="15" hidden="false" customHeight="false" outlineLevel="0" collapsed="false">
      <c r="B53" s="9" t="s">
        <v>160</v>
      </c>
      <c r="C53" s="8" t="s">
        <v>161</v>
      </c>
      <c r="D53" s="8" t="s">
        <v>161</v>
      </c>
      <c r="E53" s="21" t="s">
        <v>162</v>
      </c>
    </row>
    <row r="54" customFormat="false" ht="15" hidden="false" customHeight="false" outlineLevel="0" collapsed="false">
      <c r="B54" s="9" t="s">
        <v>163</v>
      </c>
      <c r="C54" s="8" t="s">
        <v>164</v>
      </c>
      <c r="D54" s="8" t="s">
        <v>165</v>
      </c>
    </row>
    <row r="55" customFormat="false" ht="15" hidden="false" customHeight="false" outlineLevel="0" collapsed="false">
      <c r="B55" s="9" t="s">
        <v>166</v>
      </c>
      <c r="C55" s="20" t="n">
        <v>33482</v>
      </c>
      <c r="D55" s="20" t="n">
        <v>34608</v>
      </c>
    </row>
    <row r="56" customFormat="false" ht="15" hidden="false" customHeight="false" outlineLevel="0" collapsed="false">
      <c r="B56" s="9" t="s">
        <v>167</v>
      </c>
      <c r="C56" s="29" t="n">
        <v>78000</v>
      </c>
      <c r="D56" s="29" t="n">
        <v>42000</v>
      </c>
    </row>
    <row r="57" customFormat="false" ht="15" hidden="false" customHeight="false" outlineLevel="0" collapsed="false">
      <c r="B57" s="9" t="s">
        <v>168</v>
      </c>
      <c r="C57" s="29" t="n">
        <v>62000</v>
      </c>
      <c r="D57" s="29" t="n">
        <v>34000</v>
      </c>
    </row>
    <row r="58" customFormat="false" ht="15" hidden="false" customHeight="false" outlineLevel="0" collapsed="false">
      <c r="B58" s="9" t="s">
        <v>169</v>
      </c>
      <c r="C58" s="29" t="n">
        <v>4300</v>
      </c>
      <c r="D58" s="29" t="n">
        <v>2500</v>
      </c>
      <c r="E58" s="21" t="s">
        <v>170</v>
      </c>
    </row>
    <row r="60" customFormat="false" ht="19.5" hidden="false" customHeight="true" outlineLevel="0" collapsed="false">
      <c r="A60" s="4" t="s">
        <v>171</v>
      </c>
      <c r="B60" s="5"/>
      <c r="C60" s="5"/>
      <c r="D60" s="5"/>
      <c r="E60" s="5"/>
      <c r="F60" s="5"/>
      <c r="G60" s="5"/>
    </row>
    <row r="61" customFormat="false" ht="15" hidden="false" customHeight="false" outlineLevel="0" collapsed="false">
      <c r="B61" s="9" t="s">
        <v>172</v>
      </c>
      <c r="C61" s="30" t="n">
        <v>3</v>
      </c>
    </row>
    <row r="62" customFormat="false" ht="15" hidden="false" customHeight="false" outlineLevel="0" collapsed="false">
      <c r="B62" s="23" t="s">
        <v>173</v>
      </c>
      <c r="C62" s="31" t="n">
        <f aca="false">RNI_Client+RNI_Conjoint</f>
        <v>96000</v>
      </c>
    </row>
    <row r="63" customFormat="false" ht="15" hidden="false" customHeight="false" outlineLevel="0" collapsed="false">
      <c r="B63" s="23" t="s">
        <v>174</v>
      </c>
      <c r="C63" s="31" t="n">
        <f aca="false">IF(PartsFiscales=0,0,RNI_Foyer/PartsFiscales)</f>
        <v>32000</v>
      </c>
    </row>
    <row r="64" customFormat="false" ht="15" hidden="false" customHeight="false" outlineLevel="0" collapsed="false">
      <c r="B64" s="23" t="s">
        <v>175</v>
      </c>
      <c r="C64" s="31" t="n">
        <f aca="false">SUMPRODUCT((QuotientFamilial&gt;IR_Seuil)*(QuotientFamilial-IR_Seuil)*(IR_Taux-IR_Prev))*PartsFiscales</f>
        <v>8296.44</v>
      </c>
    </row>
    <row r="65" customFormat="false" ht="15" hidden="false" customHeight="false" outlineLevel="0" collapsed="false">
      <c r="B65" s="23" t="s">
        <v>176</v>
      </c>
      <c r="C65" s="32" t="n">
        <f aca="false">IF(RNI_Foyer=0,0,IR_Estime/RNI_Foyer)</f>
        <v>0.08642125</v>
      </c>
    </row>
    <row r="66" customFormat="false" ht="15" hidden="false" customHeight="false" outlineLevel="0" collapsed="false">
      <c r="B66" s="17" t="s">
        <v>177</v>
      </c>
      <c r="C66" s="33" t="n">
        <f aca="false">IFERROR(INDEX(IR_Taux,MATCH(QuotientFamilial,IR_Seuil,1)),0)</f>
        <v>0.3</v>
      </c>
      <c r="E66" s="21" t="s">
        <v>178</v>
      </c>
    </row>
    <row r="68" customFormat="false" ht="15" hidden="false" customHeight="false" outlineLevel="0" collapsed="false">
      <c r="B68" s="34" t="s">
        <v>179</v>
      </c>
    </row>
  </sheetData>
  <dataValidations count="10">
    <dataValidation allowBlank="true" error="Choisissez une valeur dans la liste déroulante." errorStyle="stop" errorTitle="Valeur non autorisée" operator="between" showDropDown="false" showErrorMessage="false" showInputMessage="false" sqref="C20" type="list">
      <formula1>"Marié(e),Pacsé(e),Concubin(e),Célibataire,Divorcé(e),Veuf(ve)"</formula1>
      <formula2>0</formula2>
    </dataValidation>
    <dataValidation allowBlank="true" error="Choisissez une valeur dans la liste déroulante." errorStyle="stop" errorTitle="Valeur non autorisée" operator="between" showDropDown="false" showErrorMessage="false" showInputMessage="false" sqref="C21" type="list">
      <formula1>"Communauté légale (réduite aux acquêts),Séparation de biens,Communauté universelle,Participation aux acquêts,Sans objet"</formula1>
      <formula2>0</formula2>
    </dataValidation>
    <dataValidation allowBlank="true" error="Choisissez une valeur dans la liste déroulante." errorStyle="stop" errorTitle="Valeur non autorisée" operator="between" showDropDown="false" showErrorMessage="false" showInputMessage="false" sqref="C23" type="list">
      <formula1>"Oui,Non"</formula1>
      <formula2>0</formula2>
    </dataValidation>
    <dataValidation allowBlank="true" error="Choisissez une valeur dans la liste déroulante." errorStyle="stop" errorTitle="Valeur non autorisée" operator="between" showDropDown="false" showErrorMessage="false" showInputMessage="false" sqref="C24" type="list">
      <formula1>"Oui,Non"</formula1>
      <formula2>0</formula2>
    </dataValidation>
    <dataValidation allowBlank="true" error="Choisissez une valeur dans la liste déroulante." errorStyle="stop" errorTitle="Valeur non autorisée" operator="between" showDropDown="false" showErrorMessage="false" showInputMessage="false" sqref="E28:E35" type="list">
      <formula1>"Commun au couple,Du client uniquement,Du conjoint uniquement"</formula1>
      <formula2>0</formula2>
    </dataValidation>
    <dataValidation allowBlank="true" error="Choisissez une valeur dans la liste déroulante." errorStyle="stop" errorTitle="Valeur non autorisée" operator="between" showDropDown="false" showErrorMessage="false" showInputMessage="false" sqref="F28:F35" type="list">
      <formula1>"Oui,Non"</formula1>
      <formula2>0</formula2>
    </dataValidation>
    <dataValidation allowBlank="true" error="Choisissez une valeur dans la liste déroulante." errorStyle="stop" errorTitle="Valeur non autorisée" operator="between" showDropDown="false" showErrorMessage="false" showInputMessage="false" sqref="G28:G35" type="list">
      <formula1>"Oui,Non"</formula1>
      <formula2>0</formula2>
    </dataValidation>
    <dataValidation allowBlank="true" error="Choisissez une valeur dans la liste déroulante." errorStyle="stop" errorTitle="Valeur non autorisée" operator="between" showDropDown="false" showErrorMessage="false" showInputMessage="false" sqref="C45:D45" type="list">
      <formula1>"Oui,Non"</formula1>
      <formula2>0</formula2>
    </dataValidation>
    <dataValidation allowBlank="true" error="Choisissez une valeur dans la liste déroulante." errorStyle="stop" errorTitle="Valeur non autorisée" operator="between" showDropDown="false" showErrorMessage="false" showInputMessage="false" sqref="C46:D46" type="list">
      <formula1>"Oui,Non"</formula1>
      <formula2>0</formula2>
    </dataValidation>
    <dataValidation allowBlank="true" error="Choisissez une valeur dans la liste déroulante." errorStyle="stop" errorTitle="Valeur non autorisée" operator="between" showDropDown="false" showErrorMessage="false" showInputMessage="false" sqref="C53:D53" type="list">
      <formula1>"Salarié du privé,Fonctionnaire,Artisan / Commerçant (TNS),Profession libérale,Dirigeant assimilé salarié,Exploitant agricole,Sans activité,Retraité"</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true"/>
  </sheetPr>
  <dimension ref="A1:J7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38"/>
    <col collapsed="false" customWidth="true" hidden="false" outlineLevel="0" max="4" min="4" style="0" width="16"/>
    <col collapsed="false" customWidth="true" hidden="false" outlineLevel="0" max="5" min="5" style="0" width="24"/>
    <col collapsed="false" customWidth="true" hidden="false" outlineLevel="0" max="6" min="6" style="0" width="12"/>
    <col collapsed="false" customWidth="true" hidden="false" outlineLevel="0" max="7" min="7" style="0" width="16"/>
    <col collapsed="false" customWidth="true" hidden="false" outlineLevel="0" max="8" min="8" style="0" width="17"/>
    <col collapsed="false" customWidth="true" hidden="false" outlineLevel="0" max="9" min="9" style="0" width="13"/>
    <col collapsed="false" customWidth="true" hidden="false" outlineLevel="0" max="10" min="10" style="0" width="18"/>
    <col collapsed="false" customWidth="true" hidden="false" outlineLevel="0" max="11" min="11" style="0" width="4"/>
    <col collapsed="false" customWidth="true" hidden="false" outlineLevel="0" max="12" min="12" style="0" width="62"/>
  </cols>
  <sheetData>
    <row r="1" customFormat="false" ht="30" hidden="false" customHeight="true" outlineLevel="0" collapsed="false">
      <c r="A1" s="1" t="s">
        <v>180</v>
      </c>
      <c r="B1" s="2"/>
      <c r="C1" s="2"/>
      <c r="D1" s="2"/>
      <c r="E1" s="2"/>
      <c r="F1" s="2"/>
      <c r="G1" s="2"/>
      <c r="H1" s="2"/>
      <c r="I1" s="2"/>
      <c r="J1" s="2"/>
    </row>
    <row r="2" customFormat="false" ht="13.5" hidden="false" customHeight="true" outlineLevel="0" collapsed="false">
      <c r="A2" s="3" t="s">
        <v>181</v>
      </c>
    </row>
    <row r="4" customFormat="false" ht="19.5" hidden="false" customHeight="true" outlineLevel="0" collapsed="false">
      <c r="A4" s="4" t="s">
        <v>182</v>
      </c>
      <c r="B4" s="5"/>
      <c r="C4" s="5"/>
      <c r="D4" s="5"/>
      <c r="E4" s="5"/>
      <c r="F4" s="5"/>
      <c r="G4" s="5"/>
      <c r="H4" s="5"/>
      <c r="I4" s="5"/>
      <c r="J4" s="5"/>
    </row>
    <row r="5" customFormat="false" ht="15" hidden="false" customHeight="false" outlineLevel="0" collapsed="false">
      <c r="B5" s="17" t="s">
        <v>183</v>
      </c>
      <c r="C5" s="8" t="s">
        <v>184</v>
      </c>
      <c r="E5" s="21" t="s">
        <v>185</v>
      </c>
    </row>
    <row r="6" customFormat="false" ht="15" hidden="false" customHeight="false" outlineLevel="0" collapsed="false">
      <c r="B6" s="23" t="s">
        <v>186</v>
      </c>
      <c r="C6" s="35" t="str">
        <f aca="false">IF(Defunt="Client",NomClient,NomConjoint)</f>
        <v>Jean MARTIN</v>
      </c>
    </row>
    <row r="7" customFormat="false" ht="15" hidden="false" customHeight="false" outlineLevel="0" collapsed="false">
      <c r="B7" s="23" t="s">
        <v>187</v>
      </c>
      <c r="C7" s="35" t="str">
        <f aca="false">IF(Defunt="Client",NomConjoint,NomClient)</f>
        <v>Sophie MARTIN</v>
      </c>
    </row>
    <row r="8" customFormat="false" ht="15" hidden="false" customHeight="false" outlineLevel="0" collapsed="false">
      <c r="B8" s="9" t="s">
        <v>188</v>
      </c>
      <c r="C8" s="28" t="n">
        <f aca="false">IF(Defunt="Client",AgeConjoint,AgeClient)</f>
        <v>55</v>
      </c>
    </row>
    <row r="9" customFormat="false" ht="15" hidden="false" customHeight="false" outlineLevel="0" collapsed="false">
      <c r="B9" s="23" t="s">
        <v>189</v>
      </c>
      <c r="C9" s="32" t="n">
        <f aca="false">IFERROR(INDEX(UsuUS,MATCH(AgeUsufruitier,UsuAgeMin,1)),0)</f>
        <v>0.5</v>
      </c>
      <c r="D9" s="32" t="n">
        <f aca="false">1-TauxUsufruit</f>
        <v>0.5</v>
      </c>
      <c r="E9" s="21" t="s">
        <v>190</v>
      </c>
    </row>
    <row r="11" customFormat="false" ht="19.5" hidden="false" customHeight="true" outlineLevel="0" collapsed="false">
      <c r="A11" s="4" t="s">
        <v>191</v>
      </c>
      <c r="B11" s="5"/>
      <c r="C11" s="5"/>
      <c r="D11" s="5"/>
      <c r="E11" s="5"/>
      <c r="F11" s="5"/>
      <c r="G11" s="5"/>
      <c r="H11" s="5"/>
      <c r="I11" s="5"/>
      <c r="J11" s="5"/>
    </row>
    <row r="12" customFormat="false" ht="27.75" hidden="false" customHeight="true" outlineLevel="0" collapsed="false">
      <c r="B12" s="14" t="s">
        <v>192</v>
      </c>
      <c r="C12" s="14" t="s">
        <v>193</v>
      </c>
      <c r="D12" s="14" t="s">
        <v>194</v>
      </c>
      <c r="E12" s="14" t="s">
        <v>195</v>
      </c>
      <c r="F12" s="14" t="s">
        <v>196</v>
      </c>
      <c r="G12" s="14" t="s">
        <v>197</v>
      </c>
      <c r="H12" s="14" t="s">
        <v>198</v>
      </c>
      <c r="I12" s="14" t="s">
        <v>199</v>
      </c>
      <c r="J12" s="14" t="s">
        <v>200</v>
      </c>
    </row>
    <row r="13" customFormat="false" ht="15" hidden="false" customHeight="false" outlineLevel="0" collapsed="false">
      <c r="B13" s="22" t="s">
        <v>201</v>
      </c>
      <c r="C13" s="22" t="s">
        <v>202</v>
      </c>
      <c r="D13" s="36" t="n">
        <v>450000</v>
      </c>
      <c r="E13" s="8" t="s">
        <v>203</v>
      </c>
      <c r="F13" s="37" t="n">
        <v>1</v>
      </c>
      <c r="G13" s="36" t="n">
        <v>92000</v>
      </c>
      <c r="H13" s="38" t="n">
        <f aca="false">IFERROR(D13*F13-G13,0)</f>
        <v>358000</v>
      </c>
      <c r="I13" s="39" t="n">
        <f aca="false">IF($E13="Propre - Client",IF(Defunt="Client",1,0),IF($E13="Propre - Conjoint",IF(Defunt="Conjoint",1,0),IF($E13="Commun (communauté)",0.5,IF($E13="Indivision - Client",IF(Defunt="Client",1,0),IF($E13="Indivision - Conjoint",IF(Defunt="Conjoint",1,0),0)))))</f>
        <v>0.5</v>
      </c>
      <c r="J13" s="38" t="n">
        <f aca="false">H13*I13</f>
        <v>179000</v>
      </c>
    </row>
    <row r="14" customFormat="false" ht="15" hidden="false" customHeight="false" outlineLevel="0" collapsed="false">
      <c r="B14" s="22" t="s">
        <v>204</v>
      </c>
      <c r="C14" s="22" t="s">
        <v>205</v>
      </c>
      <c r="D14" s="36" t="n">
        <v>185000</v>
      </c>
      <c r="E14" s="8" t="s">
        <v>206</v>
      </c>
      <c r="F14" s="37" t="n">
        <v>1</v>
      </c>
      <c r="G14" s="36" t="n">
        <v>0</v>
      </c>
      <c r="H14" s="38" t="n">
        <f aca="false">IFERROR(D14*F14-G14,0)</f>
        <v>185000</v>
      </c>
      <c r="I14" s="39" t="n">
        <f aca="false">IF($E14="Propre - Client",IF(Defunt="Client",1,0),IF($E14="Propre - Conjoint",IF(Defunt="Conjoint",1,0),IF($E14="Commun (communauté)",0.5,IF($E14="Indivision - Client",IF(Defunt="Client",1,0),IF($E14="Indivision - Conjoint",IF(Defunt="Conjoint",1,0),0)))))</f>
        <v>1</v>
      </c>
      <c r="J14" s="38" t="n">
        <f aca="false">H14*I14</f>
        <v>185000</v>
      </c>
    </row>
    <row r="15" customFormat="false" ht="15" hidden="false" customHeight="false" outlineLevel="0" collapsed="false">
      <c r="B15" s="22" t="s">
        <v>207</v>
      </c>
      <c r="C15" s="22" t="s">
        <v>208</v>
      </c>
      <c r="D15" s="36" t="n">
        <v>240000</v>
      </c>
      <c r="E15" s="8" t="s">
        <v>203</v>
      </c>
      <c r="F15" s="37" t="n">
        <v>1</v>
      </c>
      <c r="G15" s="36" t="n">
        <v>138000</v>
      </c>
      <c r="H15" s="38" t="n">
        <f aca="false">IFERROR(D15*F15-G15,0)</f>
        <v>102000</v>
      </c>
      <c r="I15" s="39" t="n">
        <f aca="false">IF($E15="Propre - Client",IF(Defunt="Client",1,0),IF($E15="Propre - Conjoint",IF(Defunt="Conjoint",1,0),IF($E15="Commun (communauté)",0.5,IF($E15="Indivision - Client",IF(Defunt="Client",1,0),IF($E15="Indivision - Conjoint",IF(Defunt="Conjoint",1,0),0)))))</f>
        <v>0.5</v>
      </c>
      <c r="J15" s="38" t="n">
        <f aca="false">H15*I15</f>
        <v>51000</v>
      </c>
    </row>
    <row r="16" customFormat="false" ht="15" hidden="false" customHeight="false" outlineLevel="0" collapsed="false">
      <c r="B16" s="22" t="s">
        <v>207</v>
      </c>
      <c r="C16" s="22" t="s">
        <v>209</v>
      </c>
      <c r="D16" s="36" t="n">
        <v>160000</v>
      </c>
      <c r="E16" s="8" t="s">
        <v>210</v>
      </c>
      <c r="F16" s="37" t="n">
        <v>0.5</v>
      </c>
      <c r="G16" s="36" t="n">
        <v>0</v>
      </c>
      <c r="H16" s="38" t="n">
        <f aca="false">IFERROR(D16*F16-G16,0)</f>
        <v>80000</v>
      </c>
      <c r="I16" s="39" t="n">
        <f aca="false">IF($E16="Propre - Client",IF(Defunt="Client",1,0),IF($E16="Propre - Conjoint",IF(Defunt="Conjoint",1,0),IF($E16="Commun (communauté)",0.5,IF($E16="Indivision - Client",IF(Defunt="Client",1,0),IF($E16="Indivision - Conjoint",IF(Defunt="Conjoint",1,0),0)))))</f>
        <v>1</v>
      </c>
      <c r="J16" s="38" t="n">
        <f aca="false">H16*I16</f>
        <v>80000</v>
      </c>
    </row>
    <row r="17" customFormat="false" ht="15" hidden="false" customHeight="false" outlineLevel="0" collapsed="false">
      <c r="B17" s="22" t="s">
        <v>211</v>
      </c>
      <c r="C17" s="22" t="s">
        <v>212</v>
      </c>
      <c r="D17" s="36" t="n">
        <v>62000</v>
      </c>
      <c r="E17" s="8" t="s">
        <v>203</v>
      </c>
      <c r="F17" s="37" t="n">
        <v>1</v>
      </c>
      <c r="G17" s="36" t="n">
        <v>0</v>
      </c>
      <c r="H17" s="38" t="n">
        <f aca="false">IFERROR(D17*F17-G17,0)</f>
        <v>62000</v>
      </c>
      <c r="I17" s="39" t="n">
        <f aca="false">IF($E17="Propre - Client",IF(Defunt="Client",1,0),IF($E17="Propre - Conjoint",IF(Defunt="Conjoint",1,0),IF($E17="Commun (communauté)",0.5,IF($E17="Indivision - Client",IF(Defunt="Client",1,0),IF($E17="Indivision - Conjoint",IF(Defunt="Conjoint",1,0),0)))))</f>
        <v>0.5</v>
      </c>
      <c r="J17" s="38" t="n">
        <f aca="false">H17*I17</f>
        <v>31000</v>
      </c>
    </row>
    <row r="18" customFormat="false" ht="15" hidden="false" customHeight="false" outlineLevel="0" collapsed="false">
      <c r="B18" s="22" t="s">
        <v>213</v>
      </c>
      <c r="C18" s="22" t="s">
        <v>214</v>
      </c>
      <c r="D18" s="36" t="n">
        <v>118000</v>
      </c>
      <c r="E18" s="8" t="s">
        <v>206</v>
      </c>
      <c r="F18" s="37" t="n">
        <v>1</v>
      </c>
      <c r="G18" s="36" t="n">
        <v>0</v>
      </c>
      <c r="H18" s="38" t="n">
        <f aca="false">IFERROR(D18*F18-G18,0)</f>
        <v>118000</v>
      </c>
      <c r="I18" s="39" t="n">
        <f aca="false">IF($E18="Propre - Client",IF(Defunt="Client",1,0),IF($E18="Propre - Conjoint",IF(Defunt="Conjoint",1,0),IF($E18="Commun (communauté)",0.5,IF($E18="Indivision - Client",IF(Defunt="Client",1,0),IF($E18="Indivision - Conjoint",IF(Defunt="Conjoint",1,0),0)))))</f>
        <v>1</v>
      </c>
      <c r="J18" s="38" t="n">
        <f aca="false">H18*I18</f>
        <v>118000</v>
      </c>
    </row>
    <row r="19" customFormat="false" ht="15" hidden="false" customHeight="false" outlineLevel="0" collapsed="false">
      <c r="B19" s="22" t="s">
        <v>213</v>
      </c>
      <c r="C19" s="22" t="s">
        <v>215</v>
      </c>
      <c r="D19" s="36" t="n">
        <v>45000</v>
      </c>
      <c r="E19" s="8" t="s">
        <v>216</v>
      </c>
      <c r="F19" s="37" t="n">
        <v>1</v>
      </c>
      <c r="G19" s="36" t="n">
        <v>0</v>
      </c>
      <c r="H19" s="38" t="n">
        <f aca="false">IFERROR(D19*F19-G19,0)</f>
        <v>45000</v>
      </c>
      <c r="I19" s="39" t="n">
        <f aca="false">IF($E19="Propre - Client",IF(Defunt="Client",1,0),IF($E19="Propre - Conjoint",IF(Defunt="Conjoint",1,0),IF($E19="Commun (communauté)",0.5,IF($E19="Indivision - Client",IF(Defunt="Client",1,0),IF($E19="Indivision - Conjoint",IF(Defunt="Conjoint",1,0),0)))))</f>
        <v>0</v>
      </c>
      <c r="J19" s="38" t="n">
        <f aca="false">H19*I19</f>
        <v>0</v>
      </c>
    </row>
    <row r="20" customFormat="false" ht="15" hidden="false" customHeight="false" outlineLevel="0" collapsed="false">
      <c r="B20" s="22" t="s">
        <v>217</v>
      </c>
      <c r="C20" s="22" t="s">
        <v>218</v>
      </c>
      <c r="D20" s="36" t="n">
        <v>300000</v>
      </c>
      <c r="E20" s="8" t="s">
        <v>206</v>
      </c>
      <c r="F20" s="37" t="n">
        <v>1</v>
      </c>
      <c r="G20" s="36" t="n">
        <v>0</v>
      </c>
      <c r="H20" s="38" t="n">
        <f aca="false">IFERROR(D20*F20-G20,0)</f>
        <v>300000</v>
      </c>
      <c r="I20" s="39" t="n">
        <f aca="false">IF($E20="Propre - Client",IF(Defunt="Client",1,0),IF($E20="Propre - Conjoint",IF(Defunt="Conjoint",1,0),IF($E20="Commun (communauté)",0.5,IF($E20="Indivision - Client",IF(Defunt="Client",1,0),IF($E20="Indivision - Conjoint",IF(Defunt="Conjoint",1,0),0)))))</f>
        <v>1</v>
      </c>
      <c r="J20" s="38" t="n">
        <f aca="false">H20*I20</f>
        <v>300000</v>
      </c>
    </row>
    <row r="21" customFormat="false" ht="15" hidden="false" customHeight="false" outlineLevel="0" collapsed="false">
      <c r="B21" s="22" t="s">
        <v>219</v>
      </c>
      <c r="C21" s="22" t="s">
        <v>220</v>
      </c>
      <c r="D21" s="36" t="n">
        <v>35000</v>
      </c>
      <c r="E21" s="8" t="s">
        <v>203</v>
      </c>
      <c r="F21" s="37" t="n">
        <v>1</v>
      </c>
      <c r="G21" s="36" t="n">
        <v>0</v>
      </c>
      <c r="H21" s="38" t="n">
        <f aca="false">IFERROR(D21*F21-G21,0)</f>
        <v>35000</v>
      </c>
      <c r="I21" s="39" t="n">
        <f aca="false">IF($E21="Propre - Client",IF(Defunt="Client",1,0),IF($E21="Propre - Conjoint",IF(Defunt="Conjoint",1,0),IF($E21="Commun (communauté)",0.5,IF($E21="Indivision - Client",IF(Defunt="Client",1,0),IF($E21="Indivision - Conjoint",IF(Defunt="Conjoint",1,0),0)))))</f>
        <v>0.5</v>
      </c>
      <c r="J21" s="38" t="n">
        <f aca="false">H21*I21</f>
        <v>17500</v>
      </c>
    </row>
    <row r="22" customFormat="false" ht="15" hidden="false" customHeight="false" outlineLevel="0" collapsed="false">
      <c r="B22" s="22"/>
      <c r="C22" s="22"/>
      <c r="D22" s="36"/>
      <c r="E22" s="8"/>
      <c r="F22" s="37" t="n">
        <v>1</v>
      </c>
      <c r="G22" s="36"/>
      <c r="H22" s="38" t="n">
        <f aca="false">IFERROR(D22*F22-G22,0)</f>
        <v>0</v>
      </c>
      <c r="I22" s="39" t="n">
        <f aca="false">IF($E22="Propre - Client",IF(Defunt="Client",1,0),IF($E22="Propre - Conjoint",IF(Defunt="Conjoint",1,0),IF($E22="Commun (communauté)",0.5,IF($E22="Indivision - Client",IF(Defunt="Client",1,0),IF($E22="Indivision - Conjoint",IF(Defunt="Conjoint",1,0),0)))))</f>
        <v>0</v>
      </c>
      <c r="J22" s="38" t="n">
        <f aca="false">H22*I22</f>
        <v>0</v>
      </c>
    </row>
    <row r="23" customFormat="false" ht="15" hidden="false" customHeight="false" outlineLevel="0" collapsed="false">
      <c r="B23" s="22"/>
      <c r="C23" s="22"/>
      <c r="D23" s="36"/>
      <c r="E23" s="8"/>
      <c r="F23" s="37" t="n">
        <v>1</v>
      </c>
      <c r="G23" s="36"/>
      <c r="H23" s="38" t="n">
        <f aca="false">IFERROR(D23*F23-G23,0)</f>
        <v>0</v>
      </c>
      <c r="I23" s="39" t="n">
        <f aca="false">IF($E23="Propre - Client",IF(Defunt="Client",1,0),IF($E23="Propre - Conjoint",IF(Defunt="Conjoint",1,0),IF($E23="Commun (communauté)",0.5,IF($E23="Indivision - Client",IF(Defunt="Client",1,0),IF($E23="Indivision - Conjoint",IF(Defunt="Conjoint",1,0),0)))))</f>
        <v>0</v>
      </c>
      <c r="J23" s="38" t="n">
        <f aca="false">H23*I23</f>
        <v>0</v>
      </c>
    </row>
    <row r="24" customFormat="false" ht="15" hidden="false" customHeight="false" outlineLevel="0" collapsed="false">
      <c r="B24" s="22"/>
      <c r="C24" s="22"/>
      <c r="D24" s="36"/>
      <c r="E24" s="8"/>
      <c r="F24" s="37" t="n">
        <v>1</v>
      </c>
      <c r="G24" s="36"/>
      <c r="H24" s="38" t="n">
        <f aca="false">IFERROR(D24*F24-G24,0)</f>
        <v>0</v>
      </c>
      <c r="I24" s="39" t="n">
        <f aca="false">IF($E24="Propre - Client",IF(Defunt="Client",1,0),IF($E24="Propre - Conjoint",IF(Defunt="Conjoint",1,0),IF($E24="Commun (communauté)",0.5,IF($E24="Indivision - Client",IF(Defunt="Client",1,0),IF($E24="Indivision - Conjoint",IF(Defunt="Conjoint",1,0),0)))))</f>
        <v>0</v>
      </c>
      <c r="J24" s="38" t="n">
        <f aca="false">H24*I24</f>
        <v>0</v>
      </c>
    </row>
    <row r="25" customFormat="false" ht="15" hidden="false" customHeight="false" outlineLevel="0" collapsed="false">
      <c r="B25" s="22"/>
      <c r="C25" s="22"/>
      <c r="D25" s="36"/>
      <c r="E25" s="8"/>
      <c r="F25" s="37" t="n">
        <v>1</v>
      </c>
      <c r="G25" s="36"/>
      <c r="H25" s="38" t="n">
        <f aca="false">IFERROR(D25*F25-G25,0)</f>
        <v>0</v>
      </c>
      <c r="I25" s="39" t="n">
        <f aca="false">IF($E25="Propre - Client",IF(Defunt="Client",1,0),IF($E25="Propre - Conjoint",IF(Defunt="Conjoint",1,0),IF($E25="Commun (communauté)",0.5,IF($E25="Indivision - Client",IF(Defunt="Client",1,0),IF($E25="Indivision - Conjoint",IF(Defunt="Conjoint",1,0),0)))))</f>
        <v>0</v>
      </c>
      <c r="J25" s="38" t="n">
        <f aca="false">H25*I25</f>
        <v>0</v>
      </c>
    </row>
    <row r="26" customFormat="false" ht="15" hidden="false" customHeight="false" outlineLevel="0" collapsed="false">
      <c r="B26" s="22"/>
      <c r="C26" s="22"/>
      <c r="D26" s="36"/>
      <c r="E26" s="8"/>
      <c r="F26" s="37" t="n">
        <v>1</v>
      </c>
      <c r="G26" s="36"/>
      <c r="H26" s="38" t="n">
        <f aca="false">IFERROR(D26*F26-G26,0)</f>
        <v>0</v>
      </c>
      <c r="I26" s="39" t="n">
        <f aca="false">IF($E26="Propre - Client",IF(Defunt="Client",1,0),IF($E26="Propre - Conjoint",IF(Defunt="Conjoint",1,0),IF($E26="Commun (communauté)",0.5,IF($E26="Indivision - Client",IF(Defunt="Client",1,0),IF($E26="Indivision - Conjoint",IF(Defunt="Conjoint",1,0),0)))))</f>
        <v>0</v>
      </c>
      <c r="J26" s="38" t="n">
        <f aca="false">H26*I26</f>
        <v>0</v>
      </c>
    </row>
    <row r="27" customFormat="false" ht="15" hidden="false" customHeight="false" outlineLevel="0" collapsed="false">
      <c r="B27" s="22"/>
      <c r="C27" s="22"/>
      <c r="D27" s="36"/>
      <c r="E27" s="8"/>
      <c r="F27" s="37" t="n">
        <v>1</v>
      </c>
      <c r="G27" s="36"/>
      <c r="H27" s="38" t="n">
        <f aca="false">IFERROR(D27*F27-G27,0)</f>
        <v>0</v>
      </c>
      <c r="I27" s="39" t="n">
        <f aca="false">IF($E27="Propre - Client",IF(Defunt="Client",1,0),IF($E27="Propre - Conjoint",IF(Defunt="Conjoint",1,0),IF($E27="Commun (communauté)",0.5,IF($E27="Indivision - Client",IF(Defunt="Client",1,0),IF($E27="Indivision - Conjoint",IF(Defunt="Conjoint",1,0),0)))))</f>
        <v>0</v>
      </c>
      <c r="J27" s="38" t="n">
        <f aca="false">H27*I27</f>
        <v>0</v>
      </c>
    </row>
    <row r="28" customFormat="false" ht="15" hidden="false" customHeight="false" outlineLevel="0" collapsed="false">
      <c r="B28" s="22"/>
      <c r="C28" s="22"/>
      <c r="D28" s="36"/>
      <c r="E28" s="8"/>
      <c r="F28" s="37" t="n">
        <v>1</v>
      </c>
      <c r="G28" s="36"/>
      <c r="H28" s="38" t="n">
        <f aca="false">IFERROR(D28*F28-G28,0)</f>
        <v>0</v>
      </c>
      <c r="I28" s="39" t="n">
        <f aca="false">IF($E28="Propre - Client",IF(Defunt="Client",1,0),IF($E28="Propre - Conjoint",IF(Defunt="Conjoint",1,0),IF($E28="Commun (communauté)",0.5,IF($E28="Indivision - Client",IF(Defunt="Client",1,0),IF($E28="Indivision - Conjoint",IF(Defunt="Conjoint",1,0),0)))))</f>
        <v>0</v>
      </c>
      <c r="J28" s="38" t="n">
        <f aca="false">H28*I28</f>
        <v>0</v>
      </c>
    </row>
    <row r="29" customFormat="false" ht="15" hidden="false" customHeight="false" outlineLevel="0" collapsed="false">
      <c r="B29" s="22"/>
      <c r="C29" s="22"/>
      <c r="D29" s="36"/>
      <c r="E29" s="8"/>
      <c r="F29" s="37" t="n">
        <v>1</v>
      </c>
      <c r="G29" s="36"/>
      <c r="H29" s="38" t="n">
        <f aca="false">IFERROR(D29*F29-G29,0)</f>
        <v>0</v>
      </c>
      <c r="I29" s="39" t="n">
        <f aca="false">IF($E29="Propre - Client",IF(Defunt="Client",1,0),IF($E29="Propre - Conjoint",IF(Defunt="Conjoint",1,0),IF($E29="Commun (communauté)",0.5,IF($E29="Indivision - Client",IF(Defunt="Client",1,0),IF($E29="Indivision - Conjoint",IF(Defunt="Conjoint",1,0),0)))))</f>
        <v>0</v>
      </c>
      <c r="J29" s="38" t="n">
        <f aca="false">H29*I29</f>
        <v>0</v>
      </c>
    </row>
    <row r="30" customFormat="false" ht="15" hidden="false" customHeight="false" outlineLevel="0" collapsed="false">
      <c r="B30" s="22"/>
      <c r="C30" s="22"/>
      <c r="D30" s="36"/>
      <c r="E30" s="8"/>
      <c r="F30" s="37" t="n">
        <v>1</v>
      </c>
      <c r="G30" s="36"/>
      <c r="H30" s="38" t="n">
        <f aca="false">IFERROR(D30*F30-G30,0)</f>
        <v>0</v>
      </c>
      <c r="I30" s="39" t="n">
        <f aca="false">IF($E30="Propre - Client",IF(Defunt="Client",1,0),IF($E30="Propre - Conjoint",IF(Defunt="Conjoint",1,0),IF($E30="Commun (communauté)",0.5,IF($E30="Indivision - Client",IF(Defunt="Client",1,0),IF($E30="Indivision - Conjoint",IF(Defunt="Conjoint",1,0),0)))))</f>
        <v>0</v>
      </c>
      <c r="J30" s="38" t="n">
        <f aca="false">H30*I30</f>
        <v>0</v>
      </c>
    </row>
    <row r="31" customFormat="false" ht="15" hidden="false" customHeight="false" outlineLevel="0" collapsed="false">
      <c r="B31" s="17" t="s">
        <v>221</v>
      </c>
      <c r="D31" s="40" t="n">
        <f aca="false">SUM(D13:D30)</f>
        <v>1595000</v>
      </c>
      <c r="G31" s="40" t="n">
        <f aca="false">SUM(G13:G30)</f>
        <v>230000</v>
      </c>
      <c r="H31" s="40" t="n">
        <f aca="false">SUM(H13:H30)</f>
        <v>1285000</v>
      </c>
      <c r="J31" s="40" t="n">
        <f aca="false">SUM(J13:J30)</f>
        <v>961500</v>
      </c>
    </row>
    <row r="32" customFormat="false" ht="15" hidden="false" customHeight="false" outlineLevel="0" collapsed="false">
      <c r="B32" s="21" t="s">
        <v>222</v>
      </c>
    </row>
    <row r="34" customFormat="false" ht="19.5" hidden="false" customHeight="true" outlineLevel="0" collapsed="false">
      <c r="A34" s="4" t="s">
        <v>223</v>
      </c>
      <c r="B34" s="5"/>
      <c r="C34" s="5"/>
      <c r="D34" s="5"/>
      <c r="E34" s="5"/>
      <c r="F34" s="5"/>
      <c r="G34" s="5"/>
      <c r="H34" s="5"/>
      <c r="I34" s="5"/>
      <c r="J34" s="5"/>
    </row>
    <row r="35" customFormat="false" ht="27.75" hidden="false" customHeight="true" outlineLevel="0" collapsed="false">
      <c r="B35" s="14" t="s">
        <v>224</v>
      </c>
      <c r="C35" s="14" t="s">
        <v>225</v>
      </c>
      <c r="D35" s="14" t="s">
        <v>226</v>
      </c>
      <c r="E35" s="14" t="s">
        <v>227</v>
      </c>
      <c r="F35" s="14"/>
      <c r="G35" s="14"/>
      <c r="H35" s="14"/>
      <c r="I35" s="14"/>
      <c r="J35" s="14" t="s">
        <v>228</v>
      </c>
    </row>
    <row r="36" customFormat="false" ht="15" hidden="false" customHeight="false" outlineLevel="0" collapsed="false">
      <c r="B36" s="22" t="s">
        <v>229</v>
      </c>
      <c r="C36" s="22" t="s">
        <v>230</v>
      </c>
      <c r="D36" s="36" t="n">
        <v>12000</v>
      </c>
      <c r="E36" s="8" t="s">
        <v>231</v>
      </c>
      <c r="J36" s="38" t="n">
        <f aca="false">D36*IF($E36="Client",IF(Defunt="Client",1,0),IF($E36="Conjoint",IF(Defunt="Conjoint",1,0),IF($E36="Commun",0.5,0)))</f>
        <v>6000</v>
      </c>
    </row>
    <row r="37" customFormat="false" ht="15" hidden="false" customHeight="false" outlineLevel="0" collapsed="false">
      <c r="B37" s="22"/>
      <c r="C37" s="22"/>
      <c r="D37" s="36"/>
      <c r="E37" s="8"/>
      <c r="J37" s="38" t="n">
        <f aca="false">D37*IF($E37="Client",IF(Defunt="Client",1,0),IF($E37="Conjoint",IF(Defunt="Conjoint",1,0),IF($E37="Commun",0.5,0)))</f>
        <v>0</v>
      </c>
    </row>
    <row r="38" customFormat="false" ht="15" hidden="false" customHeight="false" outlineLevel="0" collapsed="false">
      <c r="B38" s="22"/>
      <c r="C38" s="22"/>
      <c r="D38" s="36"/>
      <c r="E38" s="8"/>
      <c r="J38" s="38" t="n">
        <f aca="false">D38*IF($E38="Client",IF(Defunt="Client",1,0),IF($E38="Conjoint",IF(Defunt="Conjoint",1,0),IF($E38="Commun",0.5,0)))</f>
        <v>0</v>
      </c>
    </row>
    <row r="39" customFormat="false" ht="15" hidden="false" customHeight="false" outlineLevel="0" collapsed="false">
      <c r="B39" s="22"/>
      <c r="C39" s="22"/>
      <c r="D39" s="36"/>
      <c r="E39" s="8"/>
      <c r="J39" s="38" t="n">
        <f aca="false">D39*IF($E39="Client",IF(Defunt="Client",1,0),IF($E39="Conjoint",IF(Defunt="Conjoint",1,0),IF($E39="Commun",0.5,0)))</f>
        <v>0</v>
      </c>
    </row>
    <row r="40" customFormat="false" ht="15" hidden="false" customHeight="false" outlineLevel="0" collapsed="false">
      <c r="B40" s="22"/>
      <c r="C40" s="22"/>
      <c r="D40" s="36"/>
      <c r="E40" s="8"/>
      <c r="J40" s="38" t="n">
        <f aca="false">D40*IF($E40="Client",IF(Defunt="Client",1,0),IF($E40="Conjoint",IF(Defunt="Conjoint",1,0),IF($E40="Commun",0.5,0)))</f>
        <v>0</v>
      </c>
    </row>
    <row r="41" customFormat="false" ht="15" hidden="false" customHeight="false" outlineLevel="0" collapsed="false">
      <c r="B41" s="22"/>
      <c r="C41" s="22"/>
      <c r="D41" s="36"/>
      <c r="E41" s="8"/>
      <c r="J41" s="38" t="n">
        <f aca="false">D41*IF($E41="Client",IF(Defunt="Client",1,0),IF($E41="Conjoint",IF(Defunt="Conjoint",1,0),IF($E41="Commun",0.5,0)))</f>
        <v>0</v>
      </c>
    </row>
    <row r="42" customFormat="false" ht="15" hidden="false" customHeight="false" outlineLevel="0" collapsed="false">
      <c r="B42" s="17" t="s">
        <v>232</v>
      </c>
      <c r="D42" s="40" t="n">
        <f aca="false">SUM(D36:D41)</f>
        <v>12000</v>
      </c>
      <c r="J42" s="40" t="n">
        <f aca="false">SUM(J36:J41)</f>
        <v>6000</v>
      </c>
    </row>
    <row r="44" customFormat="false" ht="19.5" hidden="false" customHeight="true" outlineLevel="0" collapsed="false">
      <c r="A44" s="4" t="s">
        <v>233</v>
      </c>
      <c r="B44" s="5"/>
      <c r="C44" s="5"/>
      <c r="D44" s="5"/>
      <c r="E44" s="5"/>
      <c r="F44" s="5"/>
      <c r="G44" s="5"/>
      <c r="H44" s="5"/>
      <c r="I44" s="5"/>
      <c r="J44" s="5"/>
    </row>
    <row r="45" customFormat="false" ht="15" hidden="false" customHeight="false" outlineLevel="0" collapsed="false">
      <c r="B45" s="9" t="s">
        <v>234</v>
      </c>
      <c r="C45" s="8" t="s">
        <v>132</v>
      </c>
      <c r="E45" s="21" t="s">
        <v>235</v>
      </c>
    </row>
    <row r="46" customFormat="false" ht="15" hidden="false" customHeight="false" outlineLevel="0" collapsed="false">
      <c r="B46" s="9" t="s">
        <v>236</v>
      </c>
      <c r="C46" s="8" t="s">
        <v>135</v>
      </c>
      <c r="E46" s="21" t="s">
        <v>237</v>
      </c>
    </row>
    <row r="48" customFormat="false" ht="15" hidden="false" customHeight="false" outlineLevel="0" collapsed="false">
      <c r="B48" s="9" t="s">
        <v>238</v>
      </c>
      <c r="D48" s="38" t="n">
        <f aca="false">ActifSuccBrut</f>
        <v>961500</v>
      </c>
    </row>
    <row r="49" customFormat="false" ht="15" hidden="false" customHeight="false" outlineLevel="0" collapsed="false">
      <c r="B49" s="9" t="s">
        <v>239</v>
      </c>
      <c r="D49" s="38" t="n">
        <f aca="false">IF(ForfaitMobilierOn="Oui",ActifSuccBrut*ForfaitMobilier,0)</f>
        <v>0</v>
      </c>
    </row>
    <row r="50" customFormat="false" ht="15" hidden="false" customHeight="false" outlineLevel="0" collapsed="false">
      <c r="B50" s="9" t="s">
        <v>240</v>
      </c>
      <c r="D50" s="38" t="n">
        <f aca="false">-PassifDiversDefunt</f>
        <v>-6000</v>
      </c>
    </row>
    <row r="51" customFormat="false" ht="15" hidden="false" customHeight="false" outlineLevel="0" collapsed="false">
      <c r="B51" s="9" t="s">
        <v>241</v>
      </c>
      <c r="D51" s="38" t="n">
        <f aca="false">-FraisFuneraires</f>
        <v>-1500</v>
      </c>
    </row>
    <row r="52" customFormat="false" ht="15" hidden="false" customHeight="false" outlineLevel="0" collapsed="false">
      <c r="B52" s="17" t="s">
        <v>242</v>
      </c>
      <c r="D52" s="41" t="n">
        <f aca="false">SUM(D48:D51)</f>
        <v>954000</v>
      </c>
    </row>
    <row r="53" customFormat="false" ht="15" hidden="false" customHeight="false" outlineLevel="0" collapsed="false">
      <c r="B53" s="9" t="s">
        <v>243</v>
      </c>
      <c r="D53" s="38" t="n">
        <f aca="false">-IF(OccupationRP="Oui",SUMIFS(ActPartSucc,ActCategorie,"Résidence principale")*AbatRP,0)</f>
        <v>-35800</v>
      </c>
    </row>
    <row r="54" customFormat="false" ht="15" hidden="false" customHeight="false" outlineLevel="0" collapsed="false">
      <c r="B54" s="17" t="s">
        <v>244</v>
      </c>
      <c r="D54" s="41" t="n">
        <f aca="false">D52+D53</f>
        <v>918200</v>
      </c>
    </row>
    <row r="55" customFormat="false" ht="15" hidden="false" customHeight="false" outlineLevel="0" collapsed="false">
      <c r="B55" s="23" t="s">
        <v>245</v>
      </c>
      <c r="D55" s="42" t="n">
        <f aca="false">IF(MasseCivile=0,1,MasseFiscale/MasseCivile)</f>
        <v>0.962473794549266</v>
      </c>
    </row>
    <row r="57" customFormat="false" ht="19.5" hidden="false" customHeight="true" outlineLevel="0" collapsed="false">
      <c r="A57" s="4" t="s">
        <v>246</v>
      </c>
      <c r="B57" s="5"/>
      <c r="C57" s="5"/>
      <c r="D57" s="5"/>
      <c r="E57" s="5"/>
      <c r="F57" s="5"/>
      <c r="G57" s="5"/>
      <c r="H57" s="5"/>
      <c r="I57" s="5"/>
      <c r="J57" s="5"/>
    </row>
    <row r="58" customFormat="false" ht="27.75" hidden="false" customHeight="true" outlineLevel="0" collapsed="false">
      <c r="B58" s="14" t="s">
        <v>247</v>
      </c>
      <c r="C58" s="14" t="s">
        <v>248</v>
      </c>
      <c r="D58" s="14" t="s">
        <v>249</v>
      </c>
      <c r="E58" s="14" t="s">
        <v>250</v>
      </c>
      <c r="F58" s="14" t="s">
        <v>251</v>
      </c>
      <c r="G58" s="14" t="s">
        <v>252</v>
      </c>
      <c r="H58" s="14" t="s">
        <v>253</v>
      </c>
      <c r="I58" s="14"/>
      <c r="J58" s="14"/>
    </row>
    <row r="59" customFormat="false" ht="15" hidden="false" customHeight="false" outlineLevel="0" collapsed="false">
      <c r="B59" s="22" t="s">
        <v>141</v>
      </c>
      <c r="C59" s="8" t="s">
        <v>184</v>
      </c>
      <c r="D59" s="8" t="s">
        <v>254</v>
      </c>
      <c r="E59" s="20" t="n">
        <v>43631</v>
      </c>
      <c r="F59" s="36" t="n">
        <v>60000</v>
      </c>
      <c r="G59" s="10" t="str">
        <f aca="false">IF(OR(E59="",C59&lt;&gt;Defunt),"Non",IF(E59&gt;=EDATE(DateSimu,-12*RappelDonations),"Oui","Non"))</f>
        <v>Oui</v>
      </c>
      <c r="H59" s="38" t="n">
        <f aca="false">IF(G59="Oui",MIN(F59,IFERROR(INDEX(AbatMontant,MATCH(D59,AbatLien,0)),0)),0)</f>
        <v>60000</v>
      </c>
    </row>
    <row r="60" customFormat="false" ht="15" hidden="false" customHeight="false" outlineLevel="0" collapsed="false">
      <c r="B60" s="22" t="s">
        <v>144</v>
      </c>
      <c r="C60" s="8" t="s">
        <v>184</v>
      </c>
      <c r="D60" s="8" t="s">
        <v>254</v>
      </c>
      <c r="E60" s="20" t="n">
        <v>42379</v>
      </c>
      <c r="F60" s="36" t="n">
        <v>30000</v>
      </c>
      <c r="G60" s="10" t="str">
        <f aca="false">IF(OR(E60="",C60&lt;&gt;Defunt),"Non",IF(E60&gt;=EDATE(DateSimu,-12*RappelDonations),"Oui","Non"))</f>
        <v>Oui</v>
      </c>
      <c r="H60" s="38" t="n">
        <f aca="false">IF(G60="Oui",MIN(F60,IFERROR(INDEX(AbatMontant,MATCH(D60,AbatLien,0)),0)),0)</f>
        <v>30000</v>
      </c>
    </row>
    <row r="61" customFormat="false" ht="15" hidden="false" customHeight="false" outlineLevel="0" collapsed="false">
      <c r="B61" s="22"/>
      <c r="C61" s="8"/>
      <c r="D61" s="8"/>
      <c r="E61" s="20"/>
      <c r="F61" s="36"/>
      <c r="G61" s="10" t="str">
        <f aca="false">IF(OR(E61="",C61&lt;&gt;Defunt),"Non",IF(E61&gt;=EDATE(DateSimu,-12*RappelDonations),"Oui","Non"))</f>
        <v>Non</v>
      </c>
      <c r="H61" s="38" t="n">
        <f aca="false">IF(G61="Oui",MIN(F61,IFERROR(INDEX(AbatMontant,MATCH(D61,AbatLien,0)),0)),0)</f>
        <v>0</v>
      </c>
    </row>
    <row r="62" customFormat="false" ht="15" hidden="false" customHeight="false" outlineLevel="0" collapsed="false">
      <c r="B62" s="22"/>
      <c r="C62" s="8"/>
      <c r="D62" s="8"/>
      <c r="E62" s="20"/>
      <c r="F62" s="36"/>
      <c r="G62" s="10" t="str">
        <f aca="false">IF(OR(E62="",C62&lt;&gt;Defunt),"Non",IF(E62&gt;=EDATE(DateSimu,-12*RappelDonations),"Oui","Non"))</f>
        <v>Non</v>
      </c>
      <c r="H62" s="38" t="n">
        <f aca="false">IF(G62="Oui",MIN(F62,IFERROR(INDEX(AbatMontant,MATCH(D62,AbatLien,0)),0)),0)</f>
        <v>0</v>
      </c>
    </row>
    <row r="63" customFormat="false" ht="15" hidden="false" customHeight="false" outlineLevel="0" collapsed="false">
      <c r="B63" s="22"/>
      <c r="C63" s="8"/>
      <c r="D63" s="8"/>
      <c r="E63" s="20"/>
      <c r="F63" s="36"/>
      <c r="G63" s="10" t="str">
        <f aca="false">IF(OR(E63="",C63&lt;&gt;Defunt),"Non",IF(E63&gt;=EDATE(DateSimu,-12*RappelDonations),"Oui","Non"))</f>
        <v>Non</v>
      </c>
      <c r="H63" s="38" t="n">
        <f aca="false">IF(G63="Oui",MIN(F63,IFERROR(INDEX(AbatMontant,MATCH(D63,AbatLien,0)),0)),0)</f>
        <v>0</v>
      </c>
    </row>
    <row r="64" customFormat="false" ht="15" hidden="false" customHeight="false" outlineLevel="0" collapsed="false">
      <c r="B64" s="22"/>
      <c r="C64" s="8"/>
      <c r="D64" s="8"/>
      <c r="E64" s="20"/>
      <c r="F64" s="36"/>
      <c r="G64" s="10" t="str">
        <f aca="false">IF(OR(E64="",C64&lt;&gt;Defunt),"Non",IF(E64&gt;=EDATE(DateSimu,-12*RappelDonations),"Oui","Non"))</f>
        <v>Non</v>
      </c>
      <c r="H64" s="38" t="n">
        <f aca="false">IF(G64="Oui",MIN(F64,IFERROR(INDEX(AbatMontant,MATCH(D64,AbatLien,0)),0)),0)</f>
        <v>0</v>
      </c>
    </row>
    <row r="65" customFormat="false" ht="15" hidden="false" customHeight="false" outlineLevel="0" collapsed="false">
      <c r="B65" s="22"/>
      <c r="C65" s="8"/>
      <c r="D65" s="8"/>
      <c r="E65" s="20"/>
      <c r="F65" s="36"/>
      <c r="G65" s="10" t="str">
        <f aca="false">IF(OR(E65="",C65&lt;&gt;Defunt),"Non",IF(E65&gt;=EDATE(DateSimu,-12*RappelDonations),"Oui","Non"))</f>
        <v>Non</v>
      </c>
      <c r="H65" s="38" t="n">
        <f aca="false">IF(G65="Oui",MIN(F65,IFERROR(INDEX(AbatMontant,MATCH(D65,AbatLien,0)),0)),0)</f>
        <v>0</v>
      </c>
    </row>
    <row r="66" customFormat="false" ht="15" hidden="false" customHeight="false" outlineLevel="0" collapsed="false">
      <c r="B66" s="22"/>
      <c r="C66" s="8"/>
      <c r="D66" s="8"/>
      <c r="E66" s="20"/>
      <c r="F66" s="36"/>
      <c r="G66" s="10" t="str">
        <f aca="false">IF(OR(E66="",C66&lt;&gt;Defunt),"Non",IF(E66&gt;=EDATE(DateSimu,-12*RappelDonations),"Oui","Non"))</f>
        <v>Non</v>
      </c>
      <c r="H66" s="38" t="n">
        <f aca="false">IF(G66="Oui",MIN(F66,IFERROR(INDEX(AbatMontant,MATCH(D66,AbatLien,0)),0)),0)</f>
        <v>0</v>
      </c>
    </row>
    <row r="67" customFormat="false" ht="15" hidden="false" customHeight="false" outlineLevel="0" collapsed="false">
      <c r="B67" s="17" t="s">
        <v>255</v>
      </c>
      <c r="H67" s="40" t="n">
        <f aca="false">SUM(H59:H66)</f>
        <v>90000</v>
      </c>
    </row>
    <row r="68" customFormat="false" ht="15" hidden="false" customHeight="false" outlineLevel="0" collapsed="false">
      <c r="B68" s="21" t="s">
        <v>256</v>
      </c>
    </row>
    <row r="70" customFormat="false" ht="19.5" hidden="false" customHeight="true" outlineLevel="0" collapsed="false">
      <c r="A70" s="4" t="s">
        <v>257</v>
      </c>
      <c r="B70" s="5"/>
      <c r="C70" s="5"/>
      <c r="D70" s="5"/>
      <c r="E70" s="5"/>
      <c r="F70" s="5"/>
      <c r="G70" s="5"/>
      <c r="H70" s="5"/>
      <c r="I70" s="5"/>
      <c r="J70" s="5"/>
    </row>
    <row r="71" customFormat="false" ht="15" hidden="false" customHeight="false" outlineLevel="0" collapsed="false">
      <c r="B71" s="9" t="s">
        <v>258</v>
      </c>
      <c r="D71" s="38" t="n">
        <f aca="false">SUMPRODUCT(D13:D30,F13:F30)</f>
        <v>1515000</v>
      </c>
    </row>
    <row r="72" customFormat="false" ht="15" hidden="false" customHeight="false" outlineLevel="0" collapsed="false">
      <c r="B72" s="9" t="s">
        <v>259</v>
      </c>
      <c r="D72" s="38" t="n">
        <f aca="false">DetteImmoFoyer+PassifDiversFoyer</f>
        <v>242000</v>
      </c>
    </row>
    <row r="73" customFormat="false" ht="15" hidden="false" customHeight="false" outlineLevel="0" collapsed="false">
      <c r="B73" s="9" t="s">
        <v>260</v>
      </c>
      <c r="D73" s="38" t="n">
        <f aca="false">PatBrutFoyer-DetteFoyer</f>
        <v>1273000</v>
      </c>
    </row>
    <row r="74" customFormat="false" ht="15" hidden="false" customHeight="false" outlineLevel="0" collapsed="false">
      <c r="B74" s="9" t="s">
        <v>261</v>
      </c>
      <c r="D74" s="38" t="n">
        <f aca="false">AV_ValeurRachat</f>
        <v>615000</v>
      </c>
    </row>
    <row r="75" customFormat="false" ht="15" hidden="false" customHeight="false" outlineLevel="0" collapsed="false">
      <c r="B75" s="17" t="s">
        <v>262</v>
      </c>
      <c r="D75" s="41" t="n">
        <f aca="false">PatNetHorsAV+PatAV</f>
        <v>1888000</v>
      </c>
    </row>
  </sheetData>
  <dataValidations count="8">
    <dataValidation allowBlank="true" error="Choisissez une valeur dans la liste déroulante." errorStyle="stop" errorTitle="Valeur non autorisée" operator="between" showDropDown="false" showErrorMessage="false" showInputMessage="false" sqref="C5" type="list">
      <formula1>"Client,Conjoint"</formula1>
      <formula2>0</formula2>
    </dataValidation>
    <dataValidation allowBlank="true" error="Choisissez une valeur dans la liste déroulante." errorStyle="stop" errorTitle="Valeur non autorisée" operator="between" showDropDown="false" showErrorMessage="false" showInputMessage="false" sqref="B13:B30" type="list">
      <formula1>"Résidence principale,Résidence secondaire,Immobilier locatif,Terrains / SCPI,Liquidités et livrets,Comptes-titres / PEA,Parts de société / entreprise,Biens meubles et divers,Créances et autres"</formula1>
      <formula2>0</formula2>
    </dataValidation>
    <dataValidation allowBlank="true" error="Choisissez une valeur dans la liste déroulante." errorStyle="stop" errorTitle="Valeur non autorisée" operator="between" showDropDown="false" showErrorMessage="false" showInputMessage="false" sqref="E13:E30" type="list">
      <formula1>"Propre - Client,Propre - Conjoint,Commun (communauté),Indivision - Client,Indivision - Conjoint"</formula1>
      <formula2>0</formula2>
    </dataValidation>
    <dataValidation allowBlank="true" error="Choisissez une valeur dans la liste déroulante." errorStyle="stop" errorTitle="Valeur non autorisée" operator="between" showDropDown="false" showErrorMessage="false" showInputMessage="false" sqref="E36:E41" type="list">
      <formula1>"Client,Conjoint,Commun"</formula1>
      <formula2>0</formula2>
    </dataValidation>
    <dataValidation allowBlank="true" error="Choisissez une valeur dans la liste déroulante." errorStyle="stop" errorTitle="Valeur non autorisée" operator="between" showDropDown="false" showErrorMessage="false" showInputMessage="false" sqref="C45" type="list">
      <formula1>"Oui,Non"</formula1>
      <formula2>0</formula2>
    </dataValidation>
    <dataValidation allowBlank="true" error="Choisissez une valeur dans la liste déroulante." errorStyle="stop" errorTitle="Valeur non autorisée" operator="between" showDropDown="false" showErrorMessage="false" showInputMessage="false" sqref="C46" type="list">
      <formula1>"Oui,Non"</formula1>
      <formula2>0</formula2>
    </dataValidation>
    <dataValidation allowBlank="true" error="Choisissez une valeur dans la liste déroulante." errorStyle="stop" errorTitle="Valeur non autorisée" operator="between" showDropDown="false" showErrorMessage="false" showInputMessage="false" sqref="C59:C66" type="list">
      <formula1>"Client,Conjoint"</formula1>
      <formula2>0</formula2>
    </dataValidation>
    <dataValidation allowBlank="true" error="Choisissez une valeur dans la liste déroulante." errorStyle="stop" errorTitle="Valeur non autorisée" operator="between" showDropDown="false" showErrorMessage="false" showInputMessage="false" sqref="D59:D66" type="list">
      <formula1>Parametres!$B$7:$B$18</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L7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0"/>
    <col collapsed="false" customWidth="true" hidden="false" outlineLevel="0" max="7" min="4" style="0" width="13"/>
    <col collapsed="false" customWidth="true" hidden="false" outlineLevel="0" max="10" min="8" style="0" width="17"/>
    <col collapsed="false" customWidth="true" hidden="false" outlineLevel="0" max="11" min="11" style="0" width="19"/>
    <col collapsed="false" customWidth="true" hidden="false" outlineLevel="0" max="12" min="12" style="0" width="12"/>
    <col collapsed="false" customWidth="true" hidden="false" outlineLevel="0" max="13" min="13" style="0" width="4"/>
    <col collapsed="false" customWidth="true" hidden="false" outlineLevel="0" max="14" min="14" style="0" width="60"/>
  </cols>
  <sheetData>
    <row r="1" customFormat="false" ht="30" hidden="false" customHeight="true" outlineLevel="0" collapsed="false">
      <c r="A1" s="1" t="s">
        <v>263</v>
      </c>
      <c r="B1" s="2"/>
      <c r="C1" s="2"/>
      <c r="D1" s="2"/>
      <c r="E1" s="2"/>
      <c r="F1" s="2"/>
      <c r="G1" s="2"/>
      <c r="H1" s="2"/>
      <c r="I1" s="2"/>
      <c r="J1" s="2"/>
      <c r="K1" s="2"/>
      <c r="L1" s="2"/>
    </row>
    <row r="2" customFormat="false" ht="13.5" hidden="false" customHeight="true" outlineLevel="0" collapsed="false">
      <c r="A2" s="3" t="s">
        <v>264</v>
      </c>
    </row>
    <row r="4" customFormat="false" ht="19.5" hidden="false" customHeight="true" outlineLevel="0" collapsed="false">
      <c r="A4" s="4" t="s">
        <v>265</v>
      </c>
      <c r="B4" s="5"/>
      <c r="C4" s="5"/>
      <c r="D4" s="5"/>
      <c r="E4" s="5"/>
      <c r="F4" s="5"/>
      <c r="G4" s="5"/>
      <c r="H4" s="5"/>
      <c r="I4" s="5"/>
      <c r="J4" s="5"/>
      <c r="K4" s="5"/>
      <c r="L4" s="5"/>
    </row>
    <row r="5" customFormat="false" ht="15" hidden="false" customHeight="false" outlineLevel="0" collapsed="false">
      <c r="B5" s="9" t="s">
        <v>186</v>
      </c>
      <c r="C5" s="43" t="str">
        <f aca="false">NomDefunt</f>
        <v>Jean MARTIN</v>
      </c>
    </row>
    <row r="6" customFormat="false" ht="15" hidden="false" customHeight="false" outlineLevel="0" collapsed="false">
      <c r="B6" s="9" t="s">
        <v>187</v>
      </c>
      <c r="C6" s="43" t="str">
        <f aca="false">NomSurvivant</f>
        <v>Sophie MARTIN</v>
      </c>
    </row>
    <row r="7" customFormat="false" ht="15" hidden="false" customHeight="false" outlineLevel="0" collapsed="false">
      <c r="B7" s="9" t="s">
        <v>266</v>
      </c>
      <c r="C7" s="44" t="n">
        <f aca="false">MasseCivile</f>
        <v>954000</v>
      </c>
    </row>
    <row r="8" customFormat="false" ht="15" hidden="false" customHeight="false" outlineLevel="0" collapsed="false">
      <c r="B8" s="9" t="s">
        <v>267</v>
      </c>
      <c r="C8" s="43" t="str">
        <f aca="false">IF(SitMat="Marié(e)","Oui","Non — seul le mariage confère la qualité d'héritier")</f>
        <v>Oui</v>
      </c>
    </row>
    <row r="9" customFormat="false" ht="15" hidden="false" customHeight="false" outlineLevel="0" collapsed="false">
      <c r="B9" s="9" t="s">
        <v>268</v>
      </c>
      <c r="C9" s="45" t="n">
        <f aca="false">IF(Defunt="Client",NbEnfClient,NbEnfConjoint)</f>
        <v>3</v>
      </c>
    </row>
    <row r="10" customFormat="false" ht="15" hidden="false" customHeight="false" outlineLevel="0" collapsed="false">
      <c r="B10" s="9" t="s">
        <v>269</v>
      </c>
      <c r="C10" s="45" t="n">
        <f aca="false">IF(Defunt="Client",NbEnfPropClient,NbEnfPropConjoint)</f>
        <v>1</v>
      </c>
    </row>
    <row r="11" customFormat="false" ht="15" hidden="false" customHeight="false" outlineLevel="0" collapsed="false">
      <c r="B11" s="9" t="s">
        <v>270</v>
      </c>
      <c r="C11" s="45" t="n">
        <f aca="false">IF(Defunt="Client",NbParentsClient,NbParentsConjoint)</f>
        <v>1</v>
      </c>
    </row>
    <row r="12" customFormat="false" ht="15" hidden="false" customHeight="false" outlineLevel="0" collapsed="false">
      <c r="B12" s="9" t="s">
        <v>271</v>
      </c>
      <c r="C12" s="45" t="n">
        <f aca="false">IF(Defunt="Client",NbFreresClient,NbFreresConjoint)</f>
        <v>1</v>
      </c>
    </row>
    <row r="13" customFormat="false" ht="15" hidden="false" customHeight="false" outlineLevel="0" collapsed="false">
      <c r="B13" s="9" t="s">
        <v>272</v>
      </c>
      <c r="C13" s="43" t="str">
        <f aca="false">DDV</f>
        <v>Oui</v>
      </c>
    </row>
    <row r="14" customFormat="false" ht="15" hidden="false" customHeight="false" outlineLevel="0" collapsed="false">
      <c r="B14" s="23" t="s">
        <v>273</v>
      </c>
      <c r="C14" s="24" t="n">
        <f aca="false">IF(SitMat="Marié(e)",1,0)</f>
        <v>1</v>
      </c>
    </row>
    <row r="15" customFormat="false" ht="15" hidden="false" customHeight="false" outlineLevel="0" collapsed="false">
      <c r="B15" s="17" t="s">
        <v>274</v>
      </c>
      <c r="C15" s="17" t="str">
        <f aca="false">IF(NbEnfDefunt&gt;0,IF(ConjEffectif=1,"Descendants + conjoint survivant — art. 757 C. civ.","Descendants seuls — art. 734 et 735 C. civ."),IF(ConjEffectif=1,IF(NbParentsDefunt&gt;0,"Conjoint + ascendants privilégiés — art. 757-1 C. civ.","Conjoint seul — art. 757-2 C. civ."),IF(OR(NbParentsDefunt&gt;0,NbFreresDefunt&gt;0),"Ascendants et/ou collatéraux privilégiés — art. 738 C. civ.","Ordres subséquents (ascendants ou collatéraux ordinaires) ou déshérence")))</f>
        <v>Descendants + conjoint survivant — art. 757 C. civ.</v>
      </c>
    </row>
    <row r="16" customFormat="false" ht="15" hidden="false" customHeight="false" outlineLevel="0" collapsed="false">
      <c r="B16" s="21" t="s">
        <v>275</v>
      </c>
    </row>
    <row r="18" customFormat="false" ht="19.5" hidden="false" customHeight="true" outlineLevel="0" collapsed="false">
      <c r="A18" s="4" t="s">
        <v>276</v>
      </c>
      <c r="B18" s="5"/>
      <c r="C18" s="5"/>
      <c r="D18" s="5"/>
      <c r="E18" s="5"/>
      <c r="F18" s="5"/>
      <c r="G18" s="5"/>
      <c r="H18" s="5"/>
      <c r="I18" s="5"/>
      <c r="J18" s="5"/>
      <c r="K18" s="5"/>
      <c r="L18" s="5"/>
    </row>
    <row r="19" customFormat="false" ht="15" hidden="false" customHeight="false" outlineLevel="0" collapsed="false">
      <c r="B19" s="17" t="s">
        <v>277</v>
      </c>
      <c r="C19" s="46" t="s">
        <v>278</v>
      </c>
    </row>
    <row r="20" customFormat="false" ht="15" hidden="false" customHeight="false" outlineLevel="0" collapsed="false">
      <c r="B20" s="23" t="s">
        <v>279</v>
      </c>
      <c r="C20" s="24" t="n">
        <f aca="false">IF(OR(ConjHeritier=0,OptionConjoint="Aucune (conjoint renonçant ou non héritier)"),0,1)</f>
        <v>1</v>
      </c>
    </row>
    <row r="21" customFormat="false" ht="30" hidden="false" customHeight="true" outlineLevel="0" collapsed="false">
      <c r="B21" s="9" t="s">
        <v>280</v>
      </c>
      <c r="C21" s="13" t="str">
        <f aca="false">IF(ConjHeritier=0,"Aucun conjoint survivant héritier : l'option est sans objet.",IF(AND(NbEnfNonCommuns&gt;0,DDV="Non",OptionConjoint&lt;&gt;"1/4 en pleine propriété (option légale)",OptionConjoint&lt;&gt;"Aucune (conjoint renonçant ou non héritier)"),"⚠️ En présence d'un enfant non commun et SANS donation au dernier vivant, le conjoint ne peut opter que pour le 1/4 en pleine propriété (art. 757 C. civ.).",IF(AND(LEFT(OptionConjoint,3)="DDV",DDV="Non"),"⚠️ Option issue d'une donation au dernier vivant alors qu'aucune DDV n'est déclarée sur la feuille Client.","✅ Option cohérente avec la situation familiale déclarée.")))</f>
        <v>✅ Option cohérente avec la situation familiale déclarée.</v>
      </c>
    </row>
    <row r="23" customFormat="false" ht="15" hidden="false" customHeight="false" outlineLevel="0" collapsed="false">
      <c r="B23" s="9" t="s">
        <v>281</v>
      </c>
      <c r="C23" s="32" t="n">
        <f aca="false">1-QD</f>
        <v>0.75</v>
      </c>
      <c r="D23" s="47" t="n">
        <f aca="false">Reserve*MasseCivile</f>
        <v>715500</v>
      </c>
    </row>
    <row r="24" customFormat="false" ht="15" hidden="false" customHeight="false" outlineLevel="0" collapsed="false">
      <c r="B24" s="9" t="s">
        <v>282</v>
      </c>
      <c r="C24" s="32" t="n">
        <f aca="false">IF(NbEnfDefunt=1,1/2,IF(NbEnfDefunt=2,1/3,IF(NbEnfDefunt&gt;=3,1/4,IF(ConjHeritier=1,3/4,1))))</f>
        <v>0.25</v>
      </c>
      <c r="D24" s="47" t="n">
        <f aca="false">QD*MasseCivile</f>
        <v>238500</v>
      </c>
    </row>
    <row r="26" customFormat="false" ht="19.5" hidden="false" customHeight="true" outlineLevel="0" collapsed="false">
      <c r="A26" s="4" t="s">
        <v>283</v>
      </c>
      <c r="B26" s="5"/>
      <c r="C26" s="5"/>
      <c r="D26" s="5"/>
      <c r="E26" s="5"/>
      <c r="F26" s="5"/>
      <c r="G26" s="5"/>
      <c r="H26" s="5"/>
      <c r="I26" s="5"/>
      <c r="J26" s="5"/>
      <c r="K26" s="5"/>
      <c r="L26" s="5"/>
    </row>
    <row r="27" customFormat="false" ht="15" hidden="false" customHeight="false" outlineLevel="0" collapsed="false">
      <c r="B27" s="9" t="s">
        <v>284</v>
      </c>
      <c r="C27" s="32" t="n">
        <f aca="false">IF(ConjEffectif=0,0,IF(NbEnfDefunt&gt;0,IF(OptionConjoint="100 % en usufruit (option légale)",0,IF(OptionConjoint="DDV - 1/4 en PP + 3/4 en usufruit",0.25,IF(OptionConjoint="DDV - Quotité disponible en pleine propriété",QD,0.25))),IF(NbParentsDefunt=2,0.5,IF(NbParentsDefunt=1,0.75,1))))</f>
        <v>0.25</v>
      </c>
    </row>
    <row r="28" customFormat="false" ht="15" hidden="false" customHeight="false" outlineLevel="0" collapsed="false">
      <c r="B28" s="9" t="s">
        <v>285</v>
      </c>
      <c r="C28" s="32" t="n">
        <f aca="false">IF(ConjEffectif=0,0,IF(NbEnfDefunt&gt;0,IF(OptionConjoint="100 % en usufruit (option légale)",1,IF(OptionConjoint="DDV - 1/4 en PP + 3/4 en usufruit",0.75,0)),0))</f>
        <v>0</v>
      </c>
    </row>
    <row r="29" customFormat="false" ht="15" hidden="false" customHeight="false" outlineLevel="0" collapsed="false">
      <c r="B29" s="9" t="s">
        <v>286</v>
      </c>
      <c r="C29" s="32" t="n">
        <f aca="false">IF(NbEnfDefunt=0,0,MAX(0,1-Q_ConjPP-Q_ConjUS))</f>
        <v>0.75</v>
      </c>
    </row>
    <row r="30" customFormat="false" ht="15" hidden="false" customHeight="false" outlineLevel="0" collapsed="false">
      <c r="B30" s="9" t="s">
        <v>287</v>
      </c>
      <c r="C30" s="32" t="n">
        <f aca="false">IF(NbEnfDefunt=0,0,Q_ConjUS)</f>
        <v>0</v>
      </c>
    </row>
    <row r="31" customFormat="false" ht="15" hidden="false" customHeight="false" outlineLevel="0" collapsed="false">
      <c r="B31" s="9" t="s">
        <v>288</v>
      </c>
      <c r="C31" s="32" t="n">
        <f aca="false">IF(NbEnfDefunt&gt;0,0,IF(ConjEffectif=1,MAX(0,1-Q_ConjPP),IF(NbFreresDefunt&gt;0,NbParentsDefunt*0.25,IF(NbParentsDefunt&gt;0,1,0))))</f>
        <v>0</v>
      </c>
    </row>
    <row r="32" customFormat="false" ht="15" hidden="false" customHeight="false" outlineLevel="0" collapsed="false">
      <c r="B32" s="9" t="s">
        <v>289</v>
      </c>
      <c r="C32" s="32" t="n">
        <f aca="false">IF(OR(NbEnfDefunt&gt;0,ConjEffectif=1,NbFreresDefunt=0),0,MAX(0,1-NbParentsDefunt*0.25))</f>
        <v>0</v>
      </c>
    </row>
    <row r="33" customFormat="false" ht="15" hidden="false" customHeight="false" outlineLevel="0" collapsed="false">
      <c r="B33" s="9" t="s">
        <v>290</v>
      </c>
      <c r="C33" s="32" t="n">
        <f aca="false">MAX(0,1-Q_ConjPP-Q_ConjUS-Q_EnfPP-Q_Parents-Q_Freres)</f>
        <v>0</v>
      </c>
    </row>
    <row r="34" customFormat="false" ht="15" hidden="false" customHeight="false" outlineLevel="0" collapsed="false">
      <c r="B34" s="17" t="s">
        <v>291</v>
      </c>
      <c r="C34" s="48" t="n">
        <f aca="false">Q_ConjPP+Q_ConjUS+Q_EnfPP+Q_Parents+Q_Freres+Q_Autres</f>
        <v>1</v>
      </c>
    </row>
    <row r="35" customFormat="false" ht="15" hidden="false" customHeight="false" outlineLevel="0" collapsed="false">
      <c r="B35" s="49" t="str">
        <f aca="false">IF(NbFreresDefunt&gt;4,"⚠️ Plus de 4 frères et sœurs déclarés : le tableau ci-dessous n'en affiche que 4. Ajoutez des lignes et étendez les plages nommées.","")</f>
        <v/>
      </c>
    </row>
    <row r="37" customFormat="false" ht="19.5" hidden="false" customHeight="true" outlineLevel="0" collapsed="false">
      <c r="A37" s="4" t="s">
        <v>292</v>
      </c>
      <c r="B37" s="5"/>
      <c r="C37" s="5"/>
      <c r="D37" s="5"/>
      <c r="E37" s="5"/>
      <c r="F37" s="5"/>
      <c r="G37" s="5"/>
      <c r="H37" s="5"/>
      <c r="I37" s="5"/>
      <c r="J37" s="5"/>
      <c r="K37" s="5"/>
      <c r="L37" s="5"/>
    </row>
    <row r="38" customFormat="false" ht="27.75" hidden="false" customHeight="true" outlineLevel="0" collapsed="false">
      <c r="B38" s="14" t="s">
        <v>293</v>
      </c>
      <c r="C38" s="14" t="s">
        <v>294</v>
      </c>
      <c r="D38" s="14" t="s">
        <v>295</v>
      </c>
      <c r="E38" s="14"/>
      <c r="F38" s="14"/>
      <c r="G38" s="14"/>
      <c r="H38" s="14"/>
      <c r="I38" s="14"/>
      <c r="J38" s="14"/>
      <c r="K38" s="14"/>
    </row>
    <row r="39" customFormat="false" ht="15" hidden="false" customHeight="false" outlineLevel="0" collapsed="false">
      <c r="B39" s="22"/>
      <c r="C39" s="8"/>
      <c r="D39" s="36"/>
    </row>
    <row r="40" customFormat="false" ht="15" hidden="false" customHeight="false" outlineLevel="0" collapsed="false">
      <c r="B40" s="22"/>
      <c r="C40" s="8"/>
      <c r="D40" s="36"/>
    </row>
    <row r="41" customFormat="false" ht="15" hidden="false" customHeight="false" outlineLevel="0" collapsed="false">
      <c r="B41" s="22"/>
      <c r="C41" s="8"/>
      <c r="D41" s="36"/>
    </row>
    <row r="42" customFormat="false" ht="15" hidden="false" customHeight="false" outlineLevel="0" collapsed="false">
      <c r="B42" s="22"/>
      <c r="C42" s="8"/>
      <c r="D42" s="36"/>
    </row>
    <row r="43" customFormat="false" ht="15" hidden="false" customHeight="false" outlineLevel="0" collapsed="false">
      <c r="B43" s="17" t="s">
        <v>296</v>
      </c>
      <c r="D43" s="40" t="n">
        <f aca="false">SUM(D39:D42)</f>
        <v>0</v>
      </c>
    </row>
    <row r="44" customFormat="false" ht="27.75" hidden="false" customHeight="true" outlineLevel="0" collapsed="false">
      <c r="B44" s="9" t="s">
        <v>297</v>
      </c>
      <c r="C44" s="13" t="str">
        <f aca="false">IF(TotalLegs=0,"Aucun legs saisi.",IF(TotalLegs&lt;=QD*MasseCivile,"✅ Les legs restent dans la quotité disponible.","⚠️ Les legs excèdent la quotité disponible : ils seront réductibles à la demande des héritiers réservataires (art. 920 C. civ.)."))</f>
        <v>Aucun legs saisi.</v>
      </c>
    </row>
    <row r="45" customFormat="false" ht="15" hidden="false" customHeight="false" outlineLevel="0" collapsed="false">
      <c r="B45" s="17" t="s">
        <v>298</v>
      </c>
      <c r="D45" s="41" t="n">
        <f aca="false">MAX(0,MasseCivile-TotalLegs)</f>
        <v>954000</v>
      </c>
    </row>
    <row r="47" customFormat="false" ht="19.5" hidden="false" customHeight="true" outlineLevel="0" collapsed="false">
      <c r="A47" s="4" t="s">
        <v>299</v>
      </c>
      <c r="B47" s="5"/>
      <c r="C47" s="5"/>
      <c r="D47" s="5"/>
      <c r="E47" s="5"/>
      <c r="F47" s="5"/>
      <c r="G47" s="5"/>
      <c r="H47" s="5"/>
      <c r="I47" s="5"/>
      <c r="J47" s="5"/>
      <c r="K47" s="5"/>
      <c r="L47" s="5"/>
    </row>
    <row r="48" customFormat="false" ht="27.75" hidden="false" customHeight="true" outlineLevel="0" collapsed="false">
      <c r="B48" s="14" t="s">
        <v>300</v>
      </c>
      <c r="C48" s="14" t="s">
        <v>301</v>
      </c>
      <c r="D48" s="14" t="s">
        <v>302</v>
      </c>
      <c r="E48" s="14" t="s">
        <v>303</v>
      </c>
      <c r="F48" s="14" t="s">
        <v>304</v>
      </c>
      <c r="G48" s="14" t="s">
        <v>305</v>
      </c>
      <c r="H48" s="14" t="s">
        <v>306</v>
      </c>
      <c r="I48" s="14" t="s">
        <v>307</v>
      </c>
      <c r="J48" s="14" t="s">
        <v>308</v>
      </c>
      <c r="K48" s="14" t="s">
        <v>309</v>
      </c>
      <c r="L48" s="14" t="s">
        <v>310</v>
      </c>
    </row>
    <row r="49" customFormat="false" ht="15" hidden="false" customHeight="false" outlineLevel="0" collapsed="false">
      <c r="B49" s="50" t="str">
        <f aca="false">NomSurvivant</f>
        <v>Sophie MARTIN</v>
      </c>
      <c r="C49" s="50" t="str">
        <f aca="false">"Conjoint survivant"</f>
        <v>Conjoint survivant</v>
      </c>
      <c r="D49" s="26" t="n">
        <f aca="false">ConjEffectif</f>
        <v>1</v>
      </c>
      <c r="E49" s="51" t="n">
        <f aca="false">Q_ConjPP*D49</f>
        <v>0.25</v>
      </c>
      <c r="F49" s="51" t="n">
        <f aca="false">Q_ConjUS*D49</f>
        <v>0</v>
      </c>
      <c r="G49" s="51" t="s">
        <v>311</v>
      </c>
      <c r="H49" s="38" t="n">
        <f aca="false">MasseDevolution*E49</f>
        <v>238500</v>
      </c>
      <c r="I49" s="38" t="n">
        <f aca="false">MasseDevolution*F49*TauxUsufruit</f>
        <v>0</v>
      </c>
      <c r="J49" s="38" t="n">
        <f aca="false">MasseDevolution*G49*(1-TauxUsufruit)</f>
        <v>0</v>
      </c>
      <c r="K49" s="40" t="n">
        <f aca="false">H49+I49+J49</f>
        <v>238500</v>
      </c>
      <c r="L49" s="10" t="str">
        <f aca="false">"Non"</f>
        <v>Non</v>
      </c>
    </row>
    <row r="50" customFormat="false" ht="15" hidden="false" customHeight="false" outlineLevel="0" collapsed="false">
      <c r="B50" s="50" t="str">
        <f aca="false">IF(INDEX(EnfPrenom,1)="","",INDEX(EnfPrenom,1))</f>
        <v>Chloé</v>
      </c>
      <c r="C50" s="50" t="str">
        <f aca="false">IF(D50=1,"Enfant","")</f>
        <v>Enfant</v>
      </c>
      <c r="D50" s="26" t="n">
        <f aca="false">IF(AND(INDEX(EnfVivant,1)="Oui",OR(INDEX(EnfFiliation,1)="Commun au couple",INDEX(EnfFiliation,1)=IF(Defunt="Client","Du client uniquement","Du conjoint uniquement"))),1,0)</f>
        <v>1</v>
      </c>
      <c r="E50" s="51" t="n">
        <f aca="false">IF(NbEnfDefunt=0,0,Q_EnfPP/NbEnfDefunt)*D50</f>
        <v>0.25</v>
      </c>
      <c r="F50" s="51" t="s">
        <v>311</v>
      </c>
      <c r="G50" s="51" t="n">
        <f aca="false">IF(NbEnfDefunt=0,0,Q_EnfNP/NbEnfDefunt)*D50</f>
        <v>0</v>
      </c>
      <c r="H50" s="38" t="n">
        <f aca="false">MasseDevolution*E50</f>
        <v>238500</v>
      </c>
      <c r="I50" s="38" t="n">
        <f aca="false">MasseDevolution*F50*TauxUsufruit</f>
        <v>0</v>
      </c>
      <c r="J50" s="38" t="n">
        <f aca="false">MasseDevolution*G50*(1-TauxUsufruit)</f>
        <v>0</v>
      </c>
      <c r="K50" s="40" t="n">
        <f aca="false">H50+I50+J50</f>
        <v>238500</v>
      </c>
      <c r="L50" s="10" t="str">
        <f aca="false">IF(INDEX(EnfHandicap,1)="Oui","Oui","Non")</f>
        <v>Non</v>
      </c>
    </row>
    <row r="51" customFormat="false" ht="15" hidden="false" customHeight="false" outlineLevel="0" collapsed="false">
      <c r="B51" s="50" t="str">
        <f aca="false">IF(INDEX(EnfPrenom,2)="","",INDEX(EnfPrenom,2))</f>
        <v>Lucas</v>
      </c>
      <c r="C51" s="50" t="str">
        <f aca="false">IF(D51=1,"Enfant","")</f>
        <v>Enfant</v>
      </c>
      <c r="D51" s="26" t="n">
        <f aca="false">IF(AND(INDEX(EnfVivant,2)="Oui",OR(INDEX(EnfFiliation,2)="Commun au couple",INDEX(EnfFiliation,2)=IF(Defunt="Client","Du client uniquement","Du conjoint uniquement"))),1,0)</f>
        <v>1</v>
      </c>
      <c r="E51" s="51" t="n">
        <f aca="false">IF(NbEnfDefunt=0,0,Q_EnfPP/NbEnfDefunt)*D51</f>
        <v>0.25</v>
      </c>
      <c r="F51" s="51" t="s">
        <v>311</v>
      </c>
      <c r="G51" s="51" t="n">
        <f aca="false">IF(NbEnfDefunt=0,0,Q_EnfNP/NbEnfDefunt)*D51</f>
        <v>0</v>
      </c>
      <c r="H51" s="38" t="n">
        <f aca="false">MasseDevolution*E51</f>
        <v>238500</v>
      </c>
      <c r="I51" s="38" t="n">
        <f aca="false">MasseDevolution*F51*TauxUsufruit</f>
        <v>0</v>
      </c>
      <c r="J51" s="38" t="n">
        <f aca="false">MasseDevolution*G51*(1-TauxUsufruit)</f>
        <v>0</v>
      </c>
      <c r="K51" s="40" t="n">
        <f aca="false">H51+I51+J51</f>
        <v>238500</v>
      </c>
      <c r="L51" s="10" t="str">
        <f aca="false">IF(INDEX(EnfHandicap,2)="Oui","Oui","Non")</f>
        <v>Non</v>
      </c>
    </row>
    <row r="52" customFormat="false" ht="15" hidden="false" customHeight="false" outlineLevel="0" collapsed="false">
      <c r="B52" s="50" t="str">
        <f aca="false">IF(INDEX(EnfPrenom,3)="","",INDEX(EnfPrenom,3))</f>
        <v>Emma</v>
      </c>
      <c r="C52" s="50" t="str">
        <f aca="false">IF(D52=1,"Enfant","")</f>
        <v>Enfant</v>
      </c>
      <c r="D52" s="26" t="n">
        <f aca="false">IF(AND(INDEX(EnfVivant,3)="Oui",OR(INDEX(EnfFiliation,3)="Commun au couple",INDEX(EnfFiliation,3)=IF(Defunt="Client","Du client uniquement","Du conjoint uniquement"))),1,0)</f>
        <v>1</v>
      </c>
      <c r="E52" s="51" t="n">
        <f aca="false">IF(NbEnfDefunt=0,0,Q_EnfPP/NbEnfDefunt)*D52</f>
        <v>0.25</v>
      </c>
      <c r="F52" s="51" t="s">
        <v>311</v>
      </c>
      <c r="G52" s="51" t="n">
        <f aca="false">IF(NbEnfDefunt=0,0,Q_EnfNP/NbEnfDefunt)*D52</f>
        <v>0</v>
      </c>
      <c r="H52" s="38" t="n">
        <f aca="false">MasseDevolution*E52</f>
        <v>238500</v>
      </c>
      <c r="I52" s="38" t="n">
        <f aca="false">MasseDevolution*F52*TauxUsufruit</f>
        <v>0</v>
      </c>
      <c r="J52" s="38" t="n">
        <f aca="false">MasseDevolution*G52*(1-TauxUsufruit)</f>
        <v>0</v>
      </c>
      <c r="K52" s="40" t="n">
        <f aca="false">H52+I52+J52</f>
        <v>238500</v>
      </c>
      <c r="L52" s="10" t="str">
        <f aca="false">IF(INDEX(EnfHandicap,3)="Oui","Oui","Non")</f>
        <v>Non</v>
      </c>
    </row>
    <row r="53" customFormat="false" ht="15" hidden="false" customHeight="false" outlineLevel="0" collapsed="false">
      <c r="B53" s="50" t="str">
        <f aca="false">IF(INDEX(EnfPrenom,4)="","",INDEX(EnfPrenom,4))</f>
        <v/>
      </c>
      <c r="C53" s="50" t="str">
        <f aca="false">IF(D53=1,"Enfant","")</f>
        <v/>
      </c>
      <c r="D53" s="26" t="n">
        <f aca="false">IF(AND(INDEX(EnfVivant,4)="Oui",OR(INDEX(EnfFiliation,4)="Commun au couple",INDEX(EnfFiliation,4)=IF(Defunt="Client","Du client uniquement","Du conjoint uniquement"))),1,0)</f>
        <v>0</v>
      </c>
      <c r="E53" s="51" t="n">
        <f aca="false">IF(NbEnfDefunt=0,0,Q_EnfPP/NbEnfDefunt)*D53</f>
        <v>0</v>
      </c>
      <c r="F53" s="51" t="s">
        <v>311</v>
      </c>
      <c r="G53" s="51" t="n">
        <f aca="false">IF(NbEnfDefunt=0,0,Q_EnfNP/NbEnfDefunt)*D53</f>
        <v>0</v>
      </c>
      <c r="H53" s="38" t="n">
        <f aca="false">MasseDevolution*E53</f>
        <v>0</v>
      </c>
      <c r="I53" s="38" t="n">
        <f aca="false">MasseDevolution*F53*TauxUsufruit</f>
        <v>0</v>
      </c>
      <c r="J53" s="38" t="n">
        <f aca="false">MasseDevolution*G53*(1-TauxUsufruit)</f>
        <v>0</v>
      </c>
      <c r="K53" s="40" t="n">
        <f aca="false">H53+I53+J53</f>
        <v>0</v>
      </c>
      <c r="L53" s="10" t="str">
        <f aca="false">IF(INDEX(EnfHandicap,4)="Oui","Oui","Non")</f>
        <v>Non</v>
      </c>
    </row>
    <row r="54" customFormat="false" ht="15" hidden="false" customHeight="false" outlineLevel="0" collapsed="false">
      <c r="B54" s="50" t="str">
        <f aca="false">IF(INDEX(EnfPrenom,5)="","",INDEX(EnfPrenom,5))</f>
        <v/>
      </c>
      <c r="C54" s="50" t="str">
        <f aca="false">IF(D54=1,"Enfant","")</f>
        <v/>
      </c>
      <c r="D54" s="26" t="n">
        <f aca="false">IF(AND(INDEX(EnfVivant,5)="Oui",OR(INDEX(EnfFiliation,5)="Commun au couple",INDEX(EnfFiliation,5)=IF(Defunt="Client","Du client uniquement","Du conjoint uniquement"))),1,0)</f>
        <v>0</v>
      </c>
      <c r="E54" s="51" t="n">
        <f aca="false">IF(NbEnfDefunt=0,0,Q_EnfPP/NbEnfDefunt)*D54</f>
        <v>0</v>
      </c>
      <c r="F54" s="51" t="s">
        <v>311</v>
      </c>
      <c r="G54" s="51" t="n">
        <f aca="false">IF(NbEnfDefunt=0,0,Q_EnfNP/NbEnfDefunt)*D54</f>
        <v>0</v>
      </c>
      <c r="H54" s="38" t="n">
        <f aca="false">MasseDevolution*E54</f>
        <v>0</v>
      </c>
      <c r="I54" s="38" t="n">
        <f aca="false">MasseDevolution*F54*TauxUsufruit</f>
        <v>0</v>
      </c>
      <c r="J54" s="38" t="n">
        <f aca="false">MasseDevolution*G54*(1-TauxUsufruit)</f>
        <v>0</v>
      </c>
      <c r="K54" s="40" t="n">
        <f aca="false">H54+I54+J54</f>
        <v>0</v>
      </c>
      <c r="L54" s="10" t="str">
        <f aca="false">IF(INDEX(EnfHandicap,5)="Oui","Oui","Non")</f>
        <v>Non</v>
      </c>
    </row>
    <row r="55" customFormat="false" ht="15" hidden="false" customHeight="false" outlineLevel="0" collapsed="false">
      <c r="B55" s="50" t="str">
        <f aca="false">IF(INDEX(EnfPrenom,6)="","",INDEX(EnfPrenom,6))</f>
        <v/>
      </c>
      <c r="C55" s="50" t="str">
        <f aca="false">IF(D55=1,"Enfant","")</f>
        <v/>
      </c>
      <c r="D55" s="26" t="n">
        <f aca="false">IF(AND(INDEX(EnfVivant,6)="Oui",OR(INDEX(EnfFiliation,6)="Commun au couple",INDEX(EnfFiliation,6)=IF(Defunt="Client","Du client uniquement","Du conjoint uniquement"))),1,0)</f>
        <v>0</v>
      </c>
      <c r="E55" s="51" t="n">
        <f aca="false">IF(NbEnfDefunt=0,0,Q_EnfPP/NbEnfDefunt)*D55</f>
        <v>0</v>
      </c>
      <c r="F55" s="51" t="s">
        <v>311</v>
      </c>
      <c r="G55" s="51" t="n">
        <f aca="false">IF(NbEnfDefunt=0,0,Q_EnfNP/NbEnfDefunt)*D55</f>
        <v>0</v>
      </c>
      <c r="H55" s="38" t="n">
        <f aca="false">MasseDevolution*E55</f>
        <v>0</v>
      </c>
      <c r="I55" s="38" t="n">
        <f aca="false">MasseDevolution*F55*TauxUsufruit</f>
        <v>0</v>
      </c>
      <c r="J55" s="38" t="n">
        <f aca="false">MasseDevolution*G55*(1-TauxUsufruit)</f>
        <v>0</v>
      </c>
      <c r="K55" s="40" t="n">
        <f aca="false">H55+I55+J55</f>
        <v>0</v>
      </c>
      <c r="L55" s="10" t="str">
        <f aca="false">IF(INDEX(EnfHandicap,6)="Oui","Oui","Non")</f>
        <v>Non</v>
      </c>
    </row>
    <row r="56" customFormat="false" ht="15" hidden="false" customHeight="false" outlineLevel="0" collapsed="false">
      <c r="B56" s="50" t="str">
        <f aca="false">IF(INDEX(EnfPrenom,7)="","",INDEX(EnfPrenom,7))</f>
        <v/>
      </c>
      <c r="C56" s="50" t="str">
        <f aca="false">IF(D56=1,"Enfant","")</f>
        <v/>
      </c>
      <c r="D56" s="26" t="n">
        <f aca="false">IF(AND(INDEX(EnfVivant,7)="Oui",OR(INDEX(EnfFiliation,7)="Commun au couple",INDEX(EnfFiliation,7)=IF(Defunt="Client","Du client uniquement","Du conjoint uniquement"))),1,0)</f>
        <v>0</v>
      </c>
      <c r="E56" s="51" t="n">
        <f aca="false">IF(NbEnfDefunt=0,0,Q_EnfPP/NbEnfDefunt)*D56</f>
        <v>0</v>
      </c>
      <c r="F56" s="51" t="s">
        <v>311</v>
      </c>
      <c r="G56" s="51" t="n">
        <f aca="false">IF(NbEnfDefunt=0,0,Q_EnfNP/NbEnfDefunt)*D56</f>
        <v>0</v>
      </c>
      <c r="H56" s="38" t="n">
        <f aca="false">MasseDevolution*E56</f>
        <v>0</v>
      </c>
      <c r="I56" s="38" t="n">
        <f aca="false">MasseDevolution*F56*TauxUsufruit</f>
        <v>0</v>
      </c>
      <c r="J56" s="38" t="n">
        <f aca="false">MasseDevolution*G56*(1-TauxUsufruit)</f>
        <v>0</v>
      </c>
      <c r="K56" s="40" t="n">
        <f aca="false">H56+I56+J56</f>
        <v>0</v>
      </c>
      <c r="L56" s="10" t="str">
        <f aca="false">IF(INDEX(EnfHandicap,7)="Oui","Oui","Non")</f>
        <v>Non</v>
      </c>
    </row>
    <row r="57" customFormat="false" ht="15" hidden="false" customHeight="false" outlineLevel="0" collapsed="false">
      <c r="B57" s="50" t="str">
        <f aca="false">IF(INDEX(EnfPrenom,8)="","",INDEX(EnfPrenom,8))</f>
        <v/>
      </c>
      <c r="C57" s="50" t="str">
        <f aca="false">IF(D57=1,"Enfant","")</f>
        <v/>
      </c>
      <c r="D57" s="26" t="n">
        <f aca="false">IF(AND(INDEX(EnfVivant,8)="Oui",OR(INDEX(EnfFiliation,8)="Commun au couple",INDEX(EnfFiliation,8)=IF(Defunt="Client","Du client uniquement","Du conjoint uniquement"))),1,0)</f>
        <v>0</v>
      </c>
      <c r="E57" s="51" t="n">
        <f aca="false">IF(NbEnfDefunt=0,0,Q_EnfPP/NbEnfDefunt)*D57</f>
        <v>0</v>
      </c>
      <c r="F57" s="51" t="s">
        <v>311</v>
      </c>
      <c r="G57" s="51" t="n">
        <f aca="false">IF(NbEnfDefunt=0,0,Q_EnfNP/NbEnfDefunt)*D57</f>
        <v>0</v>
      </c>
      <c r="H57" s="38" t="n">
        <f aca="false">MasseDevolution*E57</f>
        <v>0</v>
      </c>
      <c r="I57" s="38" t="n">
        <f aca="false">MasseDevolution*F57*TauxUsufruit</f>
        <v>0</v>
      </c>
      <c r="J57" s="38" t="n">
        <f aca="false">MasseDevolution*G57*(1-TauxUsufruit)</f>
        <v>0</v>
      </c>
      <c r="K57" s="40" t="n">
        <f aca="false">H57+I57+J57</f>
        <v>0</v>
      </c>
      <c r="L57" s="10" t="str">
        <f aca="false">IF(INDEX(EnfHandicap,8)="Oui","Oui","Non")</f>
        <v>Non</v>
      </c>
    </row>
    <row r="58" customFormat="false" ht="15" hidden="false" customHeight="false" outlineLevel="0" collapsed="false">
      <c r="B58" s="50" t="str">
        <f aca="false">"Ascendant privilégié n° 1 (père / mère)"</f>
        <v>Ascendant privilégié n° 1 (père / mère)</v>
      </c>
      <c r="C58" s="50" t="str">
        <f aca="false">IF(D58=1,"Ascendant (père / mère)","")</f>
        <v/>
      </c>
      <c r="D58" s="26" t="n">
        <f aca="false">IF(AND(NbParentsDefunt&gt;=1,Q_Parents&gt;0),1,0)</f>
        <v>0</v>
      </c>
      <c r="E58" s="51" t="n">
        <f aca="false">IF(NbParentsDefunt=0,0,Q_Parents/NbParentsDefunt)*D58</f>
        <v>0</v>
      </c>
      <c r="F58" s="51" t="s">
        <v>311</v>
      </c>
      <c r="G58" s="51" t="s">
        <v>311</v>
      </c>
      <c r="H58" s="38" t="n">
        <f aca="false">MasseDevolution*E58</f>
        <v>0</v>
      </c>
      <c r="I58" s="38" t="n">
        <f aca="false">MasseDevolution*F58*TauxUsufruit</f>
        <v>0</v>
      </c>
      <c r="J58" s="38" t="n">
        <f aca="false">MasseDevolution*G58*(1-TauxUsufruit)</f>
        <v>0</v>
      </c>
      <c r="K58" s="40" t="n">
        <f aca="false">H58+I58+J58</f>
        <v>0</v>
      </c>
      <c r="L58" s="10" t="str">
        <f aca="false">"Non"</f>
        <v>Non</v>
      </c>
    </row>
    <row r="59" customFormat="false" ht="15" hidden="false" customHeight="false" outlineLevel="0" collapsed="false">
      <c r="B59" s="50" t="str">
        <f aca="false">"Ascendant privilégié n° 2 (père / mère)"</f>
        <v>Ascendant privilégié n° 2 (père / mère)</v>
      </c>
      <c r="C59" s="50" t="str">
        <f aca="false">IF(D59=1,"Ascendant (père / mère)","")</f>
        <v/>
      </c>
      <c r="D59" s="26" t="n">
        <f aca="false">IF(AND(NbParentsDefunt&gt;=2,Q_Parents&gt;0),1,0)</f>
        <v>0</v>
      </c>
      <c r="E59" s="51" t="n">
        <f aca="false">IF(NbParentsDefunt=0,0,Q_Parents/NbParentsDefunt)*D59</f>
        <v>0</v>
      </c>
      <c r="F59" s="51" t="s">
        <v>311</v>
      </c>
      <c r="G59" s="51" t="s">
        <v>311</v>
      </c>
      <c r="H59" s="38" t="n">
        <f aca="false">MasseDevolution*E59</f>
        <v>0</v>
      </c>
      <c r="I59" s="38" t="n">
        <f aca="false">MasseDevolution*F59*TauxUsufruit</f>
        <v>0</v>
      </c>
      <c r="J59" s="38" t="n">
        <f aca="false">MasseDevolution*G59*(1-TauxUsufruit)</f>
        <v>0</v>
      </c>
      <c r="K59" s="40" t="n">
        <f aca="false">H59+I59+J59</f>
        <v>0</v>
      </c>
      <c r="L59" s="10" t="str">
        <f aca="false">"Non"</f>
        <v>Non</v>
      </c>
    </row>
    <row r="60" customFormat="false" ht="15" hidden="false" customHeight="false" outlineLevel="0" collapsed="false">
      <c r="B60" s="50" t="str">
        <f aca="false">"Frère / sœur n° 1"</f>
        <v>Frère / sœur n° 1</v>
      </c>
      <c r="C60" s="50" t="str">
        <f aca="false">IF(D60=1,"Frère / Sœur","")</f>
        <v/>
      </c>
      <c r="D60" s="26" t="n">
        <f aca="false">IF(AND(NbFreresDefunt&gt;=1,Q_Freres&gt;0),1,0)</f>
        <v>0</v>
      </c>
      <c r="E60" s="51" t="n">
        <f aca="false">IF(NbFreresDefunt=0,0,Q_Freres/MAX(NbFreresDefunt,1))*D60</f>
        <v>0</v>
      </c>
      <c r="F60" s="51" t="s">
        <v>311</v>
      </c>
      <c r="G60" s="51" t="s">
        <v>311</v>
      </c>
      <c r="H60" s="38" t="n">
        <f aca="false">MasseDevolution*E60</f>
        <v>0</v>
      </c>
      <c r="I60" s="38" t="n">
        <f aca="false">MasseDevolution*F60*TauxUsufruit</f>
        <v>0</v>
      </c>
      <c r="J60" s="38" t="n">
        <f aca="false">MasseDevolution*G60*(1-TauxUsufruit)</f>
        <v>0</v>
      </c>
      <c r="K60" s="40" t="n">
        <f aca="false">H60+I60+J60</f>
        <v>0</v>
      </c>
      <c r="L60" s="10" t="str">
        <f aca="false">"Non"</f>
        <v>Non</v>
      </c>
    </row>
    <row r="61" customFormat="false" ht="15" hidden="false" customHeight="false" outlineLevel="0" collapsed="false">
      <c r="B61" s="50" t="str">
        <f aca="false">"Frère / sœur n° 2"</f>
        <v>Frère / sœur n° 2</v>
      </c>
      <c r="C61" s="50" t="str">
        <f aca="false">IF(D61=1,"Frère / Sœur","")</f>
        <v/>
      </c>
      <c r="D61" s="26" t="n">
        <f aca="false">IF(AND(NbFreresDefunt&gt;=2,Q_Freres&gt;0),1,0)</f>
        <v>0</v>
      </c>
      <c r="E61" s="51" t="n">
        <f aca="false">IF(NbFreresDefunt=0,0,Q_Freres/MAX(NbFreresDefunt,1))*D61</f>
        <v>0</v>
      </c>
      <c r="F61" s="51" t="s">
        <v>311</v>
      </c>
      <c r="G61" s="51" t="s">
        <v>311</v>
      </c>
      <c r="H61" s="38" t="n">
        <f aca="false">MasseDevolution*E61</f>
        <v>0</v>
      </c>
      <c r="I61" s="38" t="n">
        <f aca="false">MasseDevolution*F61*TauxUsufruit</f>
        <v>0</v>
      </c>
      <c r="J61" s="38" t="n">
        <f aca="false">MasseDevolution*G61*(1-TauxUsufruit)</f>
        <v>0</v>
      </c>
      <c r="K61" s="40" t="n">
        <f aca="false">H61+I61+J61</f>
        <v>0</v>
      </c>
      <c r="L61" s="10" t="str">
        <f aca="false">"Non"</f>
        <v>Non</v>
      </c>
    </row>
    <row r="62" customFormat="false" ht="15" hidden="false" customHeight="false" outlineLevel="0" collapsed="false">
      <c r="B62" s="50" t="str">
        <f aca="false">"Frère / sœur n° 3"</f>
        <v>Frère / sœur n° 3</v>
      </c>
      <c r="C62" s="50" t="str">
        <f aca="false">IF(D62=1,"Frère / Sœur","")</f>
        <v/>
      </c>
      <c r="D62" s="26" t="n">
        <f aca="false">IF(AND(NbFreresDefunt&gt;=3,Q_Freres&gt;0),1,0)</f>
        <v>0</v>
      </c>
      <c r="E62" s="51" t="n">
        <f aca="false">IF(NbFreresDefunt=0,0,Q_Freres/MAX(NbFreresDefunt,1))*D62</f>
        <v>0</v>
      </c>
      <c r="F62" s="51" t="s">
        <v>311</v>
      </c>
      <c r="G62" s="51" t="s">
        <v>311</v>
      </c>
      <c r="H62" s="38" t="n">
        <f aca="false">MasseDevolution*E62</f>
        <v>0</v>
      </c>
      <c r="I62" s="38" t="n">
        <f aca="false">MasseDevolution*F62*TauxUsufruit</f>
        <v>0</v>
      </c>
      <c r="J62" s="38" t="n">
        <f aca="false">MasseDevolution*G62*(1-TauxUsufruit)</f>
        <v>0</v>
      </c>
      <c r="K62" s="40" t="n">
        <f aca="false">H62+I62+J62</f>
        <v>0</v>
      </c>
      <c r="L62" s="10" t="str">
        <f aca="false">"Non"</f>
        <v>Non</v>
      </c>
    </row>
    <row r="63" customFormat="false" ht="15" hidden="false" customHeight="false" outlineLevel="0" collapsed="false">
      <c r="B63" s="50" t="str">
        <f aca="false">"Frère / sœur n° 4"</f>
        <v>Frère / sœur n° 4</v>
      </c>
      <c r="C63" s="50" t="str">
        <f aca="false">IF(D63=1,"Frère / Sœur","")</f>
        <v/>
      </c>
      <c r="D63" s="26" t="n">
        <f aca="false">IF(AND(NbFreresDefunt&gt;=4,Q_Freres&gt;0),1,0)</f>
        <v>0</v>
      </c>
      <c r="E63" s="51" t="n">
        <f aca="false">IF(NbFreresDefunt=0,0,Q_Freres/MAX(NbFreresDefunt,1))*D63</f>
        <v>0</v>
      </c>
      <c r="F63" s="51" t="s">
        <v>311</v>
      </c>
      <c r="G63" s="51" t="s">
        <v>311</v>
      </c>
      <c r="H63" s="38" t="n">
        <f aca="false">MasseDevolution*E63</f>
        <v>0</v>
      </c>
      <c r="I63" s="38" t="n">
        <f aca="false">MasseDevolution*F63*TauxUsufruit</f>
        <v>0</v>
      </c>
      <c r="J63" s="38" t="n">
        <f aca="false">MasseDevolution*G63*(1-TauxUsufruit)</f>
        <v>0</v>
      </c>
      <c r="K63" s="40" t="n">
        <f aca="false">H63+I63+J63</f>
        <v>0</v>
      </c>
      <c r="L63" s="10" t="str">
        <f aca="false">"Non"</f>
        <v>Non</v>
      </c>
    </row>
    <row r="64" customFormat="false" ht="15" hidden="false" customHeight="false" outlineLevel="0" collapsed="false">
      <c r="B64" s="50" t="str">
        <f aca="false">IF(INDEX(LegsBenef,1)="","",INDEX(LegsBenef,1))</f>
        <v/>
      </c>
      <c r="C64" s="50" t="str">
        <f aca="false">IF(INDEX(LegsMontant,1)&gt;0,INDEX(LegsLien,1),"")</f>
        <v/>
      </c>
      <c r="D64" s="26" t="n">
        <f aca="false">IF(INDEX(LegsMontant,1)&gt;0,1,0)</f>
        <v>0</v>
      </c>
      <c r="E64" s="51" t="s">
        <v>311</v>
      </c>
      <c r="F64" s="51" t="s">
        <v>311</v>
      </c>
      <c r="G64" s="51" t="s">
        <v>311</v>
      </c>
      <c r="H64" s="38" t="n">
        <f aca="false">INDEX(LegsMontant,1)</f>
        <v>0</v>
      </c>
      <c r="I64" s="38" t="n">
        <f aca="false">MasseDevolution*F64*TauxUsufruit</f>
        <v>0</v>
      </c>
      <c r="J64" s="38" t="n">
        <f aca="false">MasseDevolution*G64*(1-TauxUsufruit)</f>
        <v>0</v>
      </c>
      <c r="K64" s="40" t="n">
        <f aca="false">H64+I64+J64</f>
        <v>0</v>
      </c>
      <c r="L64" s="10" t="str">
        <f aca="false">"Non"</f>
        <v>Non</v>
      </c>
    </row>
    <row r="65" customFormat="false" ht="15" hidden="false" customHeight="false" outlineLevel="0" collapsed="false">
      <c r="B65" s="50" t="str">
        <f aca="false">IF(INDEX(LegsBenef,2)="","",INDEX(LegsBenef,2))</f>
        <v/>
      </c>
      <c r="C65" s="50" t="str">
        <f aca="false">IF(INDEX(LegsMontant,2)&gt;0,INDEX(LegsLien,2),"")</f>
        <v/>
      </c>
      <c r="D65" s="26" t="n">
        <f aca="false">IF(INDEX(LegsMontant,2)&gt;0,1,0)</f>
        <v>0</v>
      </c>
      <c r="E65" s="51" t="s">
        <v>311</v>
      </c>
      <c r="F65" s="51" t="s">
        <v>311</v>
      </c>
      <c r="G65" s="51" t="s">
        <v>311</v>
      </c>
      <c r="H65" s="38" t="n">
        <f aca="false">INDEX(LegsMontant,2)</f>
        <v>0</v>
      </c>
      <c r="I65" s="38" t="n">
        <f aca="false">MasseDevolution*F65*TauxUsufruit</f>
        <v>0</v>
      </c>
      <c r="J65" s="38" t="n">
        <f aca="false">MasseDevolution*G65*(1-TauxUsufruit)</f>
        <v>0</v>
      </c>
      <c r="K65" s="40" t="n">
        <f aca="false">H65+I65+J65</f>
        <v>0</v>
      </c>
      <c r="L65" s="10" t="str">
        <f aca="false">"Non"</f>
        <v>Non</v>
      </c>
    </row>
    <row r="66" customFormat="false" ht="15" hidden="false" customHeight="false" outlineLevel="0" collapsed="false">
      <c r="B66" s="50" t="str">
        <f aca="false">IF(INDEX(LegsBenef,3)="","",INDEX(LegsBenef,3))</f>
        <v/>
      </c>
      <c r="C66" s="50" t="str">
        <f aca="false">IF(INDEX(LegsMontant,3)&gt;0,INDEX(LegsLien,3),"")</f>
        <v/>
      </c>
      <c r="D66" s="26" t="n">
        <f aca="false">IF(INDEX(LegsMontant,3)&gt;0,1,0)</f>
        <v>0</v>
      </c>
      <c r="E66" s="51" t="s">
        <v>311</v>
      </c>
      <c r="F66" s="51" t="s">
        <v>311</v>
      </c>
      <c r="G66" s="51" t="s">
        <v>311</v>
      </c>
      <c r="H66" s="38" t="n">
        <f aca="false">INDEX(LegsMontant,3)</f>
        <v>0</v>
      </c>
      <c r="I66" s="38" t="n">
        <f aca="false">MasseDevolution*F66*TauxUsufruit</f>
        <v>0</v>
      </c>
      <c r="J66" s="38" t="n">
        <f aca="false">MasseDevolution*G66*(1-TauxUsufruit)</f>
        <v>0</v>
      </c>
      <c r="K66" s="40" t="n">
        <f aca="false">H66+I66+J66</f>
        <v>0</v>
      </c>
      <c r="L66" s="10" t="str">
        <f aca="false">"Non"</f>
        <v>Non</v>
      </c>
    </row>
    <row r="67" customFormat="false" ht="15" hidden="false" customHeight="false" outlineLevel="0" collapsed="false">
      <c r="B67" s="50" t="str">
        <f aca="false">IF(INDEX(LegsBenef,4)="","",INDEX(LegsBenef,4))</f>
        <v/>
      </c>
      <c r="C67" s="50" t="str">
        <f aca="false">IF(INDEX(LegsMontant,4)&gt;0,INDEX(LegsLien,4),"")</f>
        <v/>
      </c>
      <c r="D67" s="26" t="n">
        <f aca="false">IF(INDEX(LegsMontant,4)&gt;0,1,0)</f>
        <v>0</v>
      </c>
      <c r="E67" s="51" t="s">
        <v>311</v>
      </c>
      <c r="F67" s="51" t="s">
        <v>311</v>
      </c>
      <c r="G67" s="51" t="s">
        <v>311</v>
      </c>
      <c r="H67" s="38" t="n">
        <f aca="false">INDEX(LegsMontant,4)</f>
        <v>0</v>
      </c>
      <c r="I67" s="38" t="n">
        <f aca="false">MasseDevolution*F67*TauxUsufruit</f>
        <v>0</v>
      </c>
      <c r="J67" s="38" t="n">
        <f aca="false">MasseDevolution*G67*(1-TauxUsufruit)</f>
        <v>0</v>
      </c>
      <c r="K67" s="40" t="n">
        <f aca="false">H67+I67+J67</f>
        <v>0</v>
      </c>
      <c r="L67" s="10" t="str">
        <f aca="false">"Non"</f>
        <v>Non</v>
      </c>
    </row>
    <row r="68" customFormat="false" ht="15" hidden="false" customHeight="false" outlineLevel="0" collapsed="false">
      <c r="B68" s="50" t="str">
        <f aca="false">"Autres héritiers (ordres 3 et 4) ou État"</f>
        <v>Autres héritiers (ordres 3 et 4) ou État</v>
      </c>
      <c r="C68" s="8" t="s">
        <v>312</v>
      </c>
      <c r="D68" s="26" t="n">
        <f aca="false">IF(Q_Autres&gt;0,1,0)</f>
        <v>0</v>
      </c>
      <c r="E68" s="51" t="n">
        <f aca="false">Q_Autres</f>
        <v>0</v>
      </c>
      <c r="F68" s="51" t="s">
        <v>311</v>
      </c>
      <c r="G68" s="51" t="s">
        <v>311</v>
      </c>
      <c r="H68" s="38" t="n">
        <f aca="false">MasseDevolution*E68</f>
        <v>0</v>
      </c>
      <c r="I68" s="38" t="s">
        <v>311</v>
      </c>
      <c r="J68" s="38" t="s">
        <v>311</v>
      </c>
      <c r="K68" s="40" t="n">
        <f aca="false">H68+I68+J68</f>
        <v>0</v>
      </c>
      <c r="L68" s="10" t="str">
        <f aca="false">"Non"</f>
        <v>Non</v>
      </c>
    </row>
    <row r="69" customFormat="false" ht="15" hidden="false" customHeight="false" outlineLevel="0" collapsed="false">
      <c r="B69" s="17" t="s">
        <v>313</v>
      </c>
      <c r="H69" s="40" t="n">
        <f aca="false">SUM(H49:H68)</f>
        <v>954000</v>
      </c>
      <c r="I69" s="40" t="n">
        <f aca="false">SUM(I49:I68)</f>
        <v>0</v>
      </c>
      <c r="J69" s="40" t="n">
        <f aca="false">SUM(J49:J68)</f>
        <v>0</v>
      </c>
      <c r="K69" s="40" t="n">
        <f aca="false">SUM(K49:K68)</f>
        <v>954000</v>
      </c>
    </row>
    <row r="70" customFormat="false" ht="15" hidden="false" customHeight="false" outlineLevel="0" collapsed="false">
      <c r="B70" s="23" t="s">
        <v>314</v>
      </c>
      <c r="K70" s="52" t="n">
        <f aca="false">K69-MasseCivile</f>
        <v>0</v>
      </c>
    </row>
    <row r="71" customFormat="false" ht="15" hidden="false" customHeight="false" outlineLevel="0" collapsed="false">
      <c r="B71" s="21" t="s">
        <v>315</v>
      </c>
    </row>
    <row r="72" customFormat="false" ht="15" hidden="false" customHeight="false" outlineLevel="0" collapsed="false">
      <c r="B72" s="21" t="s">
        <v>316</v>
      </c>
    </row>
  </sheetData>
  <dataValidations count="3">
    <dataValidation allowBlank="true" error="Choisissez une valeur dans la liste déroulante." errorStyle="stop" errorTitle="Valeur non autorisée" operator="between" showDropDown="false" showErrorMessage="false" showInputMessage="false" sqref="C19" type="list">
      <formula1>"1/4 en pleine propriété (option légale),100 % en usufruit (option légale),DDV - 1/4 en PP + 3/4 en usufruit,DDV - Quotité disponible en pleine propriété,Aucune (conjoint renonçant ou non héritier)"</formula1>
      <formula2>0</formula2>
    </dataValidation>
    <dataValidation allowBlank="true" error="Choisissez une valeur dans la liste déroulante." errorStyle="stop" errorTitle="Valeur non autorisée" operator="between" showDropDown="false" showErrorMessage="false" showInputMessage="false" sqref="C39:C42" type="list">
      <formula1>Parametres!$B$7:$B$18</formula1>
      <formula2>0</formula2>
    </dataValidation>
    <dataValidation allowBlank="true" error="Choisissez une valeur dans la liste déroulante." errorStyle="stop" errorTitle="Valeur non autorisée" operator="between" showDropDown="false" showErrorMessage="false" showInputMessage="false" sqref="C68" type="list">
      <formula1>Parametres!$B$7:$B$18</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P5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6"/>
    <col collapsed="false" customWidth="true" hidden="false" outlineLevel="0" max="5" min="4" style="0" width="16"/>
    <col collapsed="false" customWidth="true" hidden="false" outlineLevel="0" max="6" min="6" style="0" width="15"/>
    <col collapsed="false" customWidth="true" hidden="false" outlineLevel="0" max="7" min="7" style="0" width="16"/>
    <col collapsed="false" customWidth="true" hidden="false" outlineLevel="0" max="8" min="8" style="0" width="15"/>
    <col collapsed="false" customWidth="true" hidden="false" outlineLevel="0" max="9" min="9" style="0" width="13"/>
    <col collapsed="false" customWidth="true" hidden="false" outlineLevel="0" max="11" min="10" style="0" width="15"/>
    <col collapsed="false" customWidth="true" hidden="false" outlineLevel="0" max="12" min="12" style="0" width="16"/>
    <col collapsed="false" customWidth="true" hidden="false" outlineLevel="0" max="13" min="13" style="0" width="22"/>
    <col collapsed="false" customWidth="true" hidden="false" outlineLevel="0" max="14" min="14" style="0" width="16"/>
    <col collapsed="false" customWidth="true" hidden="false" outlineLevel="0" max="15" min="15" style="0" width="11"/>
    <col collapsed="false" customWidth="true" hidden="false" outlineLevel="0" max="16" min="16" style="0" width="16"/>
    <col collapsed="false" customWidth="true" hidden="false" outlineLevel="0" max="17" min="17" style="0" width="4"/>
    <col collapsed="false" customWidth="true" hidden="false" outlineLevel="0" max="18" min="18" style="0" width="55"/>
  </cols>
  <sheetData>
    <row r="1" customFormat="false" ht="30" hidden="false" customHeight="true" outlineLevel="0" collapsed="false">
      <c r="A1" s="1" t="s">
        <v>317</v>
      </c>
      <c r="B1" s="2"/>
      <c r="C1" s="2"/>
      <c r="D1" s="2"/>
      <c r="E1" s="2"/>
      <c r="F1" s="2"/>
      <c r="G1" s="2"/>
      <c r="H1" s="2"/>
      <c r="I1" s="2"/>
      <c r="J1" s="2"/>
      <c r="K1" s="2"/>
      <c r="L1" s="2"/>
      <c r="M1" s="2"/>
      <c r="N1" s="2"/>
      <c r="O1" s="2"/>
      <c r="P1" s="2"/>
    </row>
    <row r="2" customFormat="false" ht="13.5" hidden="false" customHeight="true" outlineLevel="0" collapsed="false">
      <c r="A2" s="3" t="s">
        <v>318</v>
      </c>
    </row>
    <row r="4" customFormat="false" ht="19.5" hidden="false" customHeight="true" outlineLevel="0" collapsed="false">
      <c r="A4" s="4" t="s">
        <v>319</v>
      </c>
      <c r="B4" s="5"/>
      <c r="C4" s="5"/>
      <c r="D4" s="5"/>
      <c r="E4" s="5"/>
      <c r="F4" s="5"/>
      <c r="G4" s="5"/>
      <c r="H4" s="5"/>
      <c r="I4" s="5"/>
      <c r="J4" s="5"/>
      <c r="K4" s="5"/>
      <c r="L4" s="5"/>
      <c r="M4" s="5"/>
      <c r="N4" s="5"/>
      <c r="O4" s="5"/>
      <c r="P4" s="5"/>
    </row>
    <row r="5" customFormat="false" ht="15" hidden="false" customHeight="false" outlineLevel="0" collapsed="false">
      <c r="B5" s="9" t="s">
        <v>320</v>
      </c>
      <c r="C5" s="53" t="n">
        <f aca="false">MasseCivile</f>
        <v>954000</v>
      </c>
    </row>
    <row r="6" customFormat="false" ht="15" hidden="false" customHeight="false" outlineLevel="0" collapsed="false">
      <c r="B6" s="9" t="s">
        <v>321</v>
      </c>
      <c r="C6" s="53" t="n">
        <f aca="false">MasseFiscale</f>
        <v>918200</v>
      </c>
    </row>
    <row r="7" customFormat="false" ht="15" hidden="false" customHeight="false" outlineLevel="0" collapsed="false">
      <c r="B7" s="9" t="s">
        <v>322</v>
      </c>
      <c r="C7" s="54" t="n">
        <f aca="false">CoefFiscal</f>
        <v>0.962473794549266</v>
      </c>
    </row>
    <row r="9" customFormat="false" ht="19.5" hidden="false" customHeight="true" outlineLevel="0" collapsed="false">
      <c r="A9" s="4" t="s">
        <v>323</v>
      </c>
      <c r="B9" s="5"/>
      <c r="C9" s="5"/>
      <c r="D9" s="5"/>
      <c r="E9" s="5"/>
      <c r="F9" s="5"/>
      <c r="G9" s="5"/>
      <c r="H9" s="5"/>
      <c r="I9" s="5"/>
      <c r="J9" s="5"/>
      <c r="K9" s="5"/>
      <c r="L9" s="5"/>
      <c r="M9" s="5"/>
      <c r="N9" s="5"/>
      <c r="O9" s="5"/>
      <c r="P9" s="5"/>
    </row>
    <row r="10" customFormat="false" ht="27.75" hidden="false" customHeight="true" outlineLevel="0" collapsed="false">
      <c r="B10" s="14" t="s">
        <v>300</v>
      </c>
      <c r="C10" s="14" t="s">
        <v>301</v>
      </c>
      <c r="D10" s="14" t="s">
        <v>324</v>
      </c>
      <c r="E10" s="14" t="s">
        <v>325</v>
      </c>
      <c r="F10" s="14" t="s">
        <v>326</v>
      </c>
      <c r="G10" s="14" t="s">
        <v>327</v>
      </c>
      <c r="H10" s="14" t="s">
        <v>328</v>
      </c>
      <c r="I10" s="14" t="s">
        <v>329</v>
      </c>
      <c r="J10" s="14" t="s">
        <v>330</v>
      </c>
      <c r="K10" s="14" t="s">
        <v>331</v>
      </c>
      <c r="L10" s="14" t="s">
        <v>332</v>
      </c>
      <c r="M10" s="14" t="s">
        <v>333</v>
      </c>
      <c r="N10" s="14" t="s">
        <v>334</v>
      </c>
      <c r="O10" s="14" t="s">
        <v>335</v>
      </c>
      <c r="P10" s="14" t="s">
        <v>336</v>
      </c>
    </row>
    <row r="11" customFormat="false" ht="15" hidden="false" customHeight="false" outlineLevel="0" collapsed="false">
      <c r="B11" s="50" t="str">
        <f aca="false">IF(INDEX(HerNom,1)="","",INDEX(HerNom,1))</f>
        <v>Sophie MARTIN</v>
      </c>
      <c r="C11" s="50" t="str">
        <f aca="false">IF(INDEX(HerPresent,1)=1,INDEX(HerLien,1),"")</f>
        <v>Conjoint survivant</v>
      </c>
      <c r="D11" s="55" t="n">
        <f aca="false">INDEX(HerValeur,1)</f>
        <v>238500</v>
      </c>
      <c r="E11" s="38" t="n">
        <f aca="false">D11*CoefFiscal</f>
        <v>229550</v>
      </c>
      <c r="F11" s="38" t="n">
        <f aca="false">IF(B11="",0,SUMIFS(AV_Taxable757,AV_BenefNom,B11))</f>
        <v>0</v>
      </c>
      <c r="G11" s="38" t="n">
        <f aca="false">E11+F11</f>
        <v>229550</v>
      </c>
      <c r="H11" s="38" t="n">
        <f aca="false">IF(G11=0,0,IFERROR(INDEX(AbatMontant,MATCH(C11,AbatLien,0)),0))</f>
        <v>0</v>
      </c>
      <c r="I11" s="38" t="n">
        <f aca="false">IF(AND(G11&gt;0,INDEX(HerHandicap,1)="Oui"),AbatHandicap,0)</f>
        <v>0</v>
      </c>
      <c r="J11" s="38" t="n">
        <f aca="false">IF(B11="",0,SUMIFS(DonAbatConso,DonNom,B11))</f>
        <v>0</v>
      </c>
      <c r="K11" s="38" t="n">
        <f aca="false">MAX(0,H11+I11-J11)</f>
        <v>0</v>
      </c>
      <c r="L11" s="56" t="n">
        <f aca="false">MAX(0,G11-K11)</f>
        <v>229550</v>
      </c>
      <c r="M11" s="10" t="str">
        <f aca="false">IF(C11="","",IFERROR(INDEX(AbatCat,MATCH(C11,AbatLien,0)),"Autres"))</f>
        <v>Exonéré</v>
      </c>
      <c r="N11" s="56" t="n">
        <f aca="false">IF(OR(M11="",M11="Exonéré"),0,SUMPRODUCT((BarCat=M11)*(L11&gt;BarSeuil)*(L11-BarSeuil)*(BarTaux-BarPrev)))</f>
        <v>0</v>
      </c>
      <c r="O11" s="39" t="n">
        <f aca="false">IF(D11+F11=0,0,N11/(D11+F11))</f>
        <v>0</v>
      </c>
      <c r="P11" s="38" t="n">
        <f aca="false">D11-N11</f>
        <v>238500</v>
      </c>
    </row>
    <row r="12" customFormat="false" ht="15" hidden="false" customHeight="false" outlineLevel="0" collapsed="false">
      <c r="B12" s="50" t="str">
        <f aca="false">IF(INDEX(HerNom,2)="","",INDEX(HerNom,2))</f>
        <v>Chloé</v>
      </c>
      <c r="C12" s="50" t="str">
        <f aca="false">IF(INDEX(HerPresent,2)=1,INDEX(HerLien,2),"")</f>
        <v>Enfant</v>
      </c>
      <c r="D12" s="55" t="n">
        <f aca="false">INDEX(HerValeur,2)</f>
        <v>238500</v>
      </c>
      <c r="E12" s="38" t="n">
        <f aca="false">D12*CoefFiscal</f>
        <v>229550</v>
      </c>
      <c r="F12" s="38" t="n">
        <f aca="false">IF(B12="",0,SUMIFS(AV_Taxable757,AV_BenefNom,B12))</f>
        <v>0</v>
      </c>
      <c r="G12" s="38" t="n">
        <f aca="false">E12+F12</f>
        <v>229550</v>
      </c>
      <c r="H12" s="38" t="n">
        <f aca="false">IF(G12=0,0,IFERROR(INDEX(AbatMontant,MATCH(C12,AbatLien,0)),0))</f>
        <v>100000</v>
      </c>
      <c r="I12" s="38" t="n">
        <f aca="false">IF(AND(G12&gt;0,INDEX(HerHandicap,2)="Oui"),AbatHandicap,0)</f>
        <v>0</v>
      </c>
      <c r="J12" s="38" t="n">
        <f aca="false">IF(B12="",0,SUMIFS(DonAbatConso,DonNom,B12))</f>
        <v>60000</v>
      </c>
      <c r="K12" s="38" t="n">
        <f aca="false">MAX(0,H12+I12-J12)</f>
        <v>40000</v>
      </c>
      <c r="L12" s="56" t="n">
        <f aca="false">MAX(0,G12-K12)</f>
        <v>189550</v>
      </c>
      <c r="M12" s="10" t="str">
        <f aca="false">IF(C12="","",IFERROR(INDEX(AbatCat,MATCH(C12,AbatLien,0)),"Autres"))</f>
        <v>Ligne directe</v>
      </c>
      <c r="N12" s="56" t="n">
        <f aca="false">IF(OR(M12="",M12="Exonéré"),0,SUMPRODUCT((BarCat=M12)*(L12&gt;BarSeuil)*(L12-BarSeuil)*(BarTaux-BarPrev)))</f>
        <v>36104.35</v>
      </c>
      <c r="O12" s="39" t="n">
        <f aca="false">IF(D12+F12=0,0,N12/(D12+F12))</f>
        <v>0.151380922431866</v>
      </c>
      <c r="P12" s="38" t="n">
        <f aca="false">D12-N12</f>
        <v>202395.65</v>
      </c>
    </row>
    <row r="13" customFormat="false" ht="15" hidden="false" customHeight="false" outlineLevel="0" collapsed="false">
      <c r="B13" s="50" t="str">
        <f aca="false">IF(INDEX(HerNom,3)="","",INDEX(HerNom,3))</f>
        <v>Lucas</v>
      </c>
      <c r="C13" s="50" t="str">
        <f aca="false">IF(INDEX(HerPresent,3)=1,INDEX(HerLien,3),"")</f>
        <v>Enfant</v>
      </c>
      <c r="D13" s="55" t="n">
        <f aca="false">INDEX(HerValeur,3)</f>
        <v>238500</v>
      </c>
      <c r="E13" s="38" t="n">
        <f aca="false">D13*CoefFiscal</f>
        <v>229550</v>
      </c>
      <c r="F13" s="38" t="n">
        <f aca="false">IF(B13="",0,SUMIFS(AV_Taxable757,AV_BenefNom,B13))</f>
        <v>0</v>
      </c>
      <c r="G13" s="38" t="n">
        <f aca="false">E13+F13</f>
        <v>229550</v>
      </c>
      <c r="H13" s="38" t="n">
        <f aca="false">IF(G13=0,0,IFERROR(INDEX(AbatMontant,MATCH(C13,AbatLien,0)),0))</f>
        <v>100000</v>
      </c>
      <c r="I13" s="38" t="n">
        <f aca="false">IF(AND(G13&gt;0,INDEX(HerHandicap,3)="Oui"),AbatHandicap,0)</f>
        <v>0</v>
      </c>
      <c r="J13" s="38" t="n">
        <f aca="false">IF(B13="",0,SUMIFS(DonAbatConso,DonNom,B13))</f>
        <v>30000</v>
      </c>
      <c r="K13" s="38" t="n">
        <f aca="false">MAX(0,H13+I13-J13)</f>
        <v>70000</v>
      </c>
      <c r="L13" s="56" t="n">
        <f aca="false">MAX(0,G13-K13)</f>
        <v>159550</v>
      </c>
      <c r="M13" s="10" t="str">
        <f aca="false">IF(C13="","",IFERROR(INDEX(AbatCat,MATCH(C13,AbatLien,0)),"Autres"))</f>
        <v>Ligne directe</v>
      </c>
      <c r="N13" s="56" t="n">
        <f aca="false">IF(OR(M13="",M13="Exonéré"),0,SUMPRODUCT((BarCat=M13)*(L13&gt;BarSeuil)*(L13-BarSeuil)*(BarTaux-BarPrev)))</f>
        <v>30104.35</v>
      </c>
      <c r="O13" s="39" t="n">
        <f aca="false">IF(D13+F13=0,0,N13/(D13+F13))</f>
        <v>0.126223689727463</v>
      </c>
      <c r="P13" s="38" t="n">
        <f aca="false">D13-N13</f>
        <v>208395.65</v>
      </c>
    </row>
    <row r="14" customFormat="false" ht="15" hidden="false" customHeight="false" outlineLevel="0" collapsed="false">
      <c r="B14" s="50" t="str">
        <f aca="false">IF(INDEX(HerNom,4)="","",INDEX(HerNom,4))</f>
        <v>Emma</v>
      </c>
      <c r="C14" s="50" t="str">
        <f aca="false">IF(INDEX(HerPresent,4)=1,INDEX(HerLien,4),"")</f>
        <v>Enfant</v>
      </c>
      <c r="D14" s="55" t="n">
        <f aca="false">INDEX(HerValeur,4)</f>
        <v>238500</v>
      </c>
      <c r="E14" s="38" t="n">
        <f aca="false">D14*CoefFiscal</f>
        <v>229550</v>
      </c>
      <c r="F14" s="38" t="n">
        <f aca="false">IF(B14="",0,SUMIFS(AV_Taxable757,AV_BenefNom,B14))</f>
        <v>0</v>
      </c>
      <c r="G14" s="38" t="n">
        <f aca="false">E14+F14</f>
        <v>229550</v>
      </c>
      <c r="H14" s="38" t="n">
        <f aca="false">IF(G14=0,0,IFERROR(INDEX(AbatMontant,MATCH(C14,AbatLien,0)),0))</f>
        <v>100000</v>
      </c>
      <c r="I14" s="38" t="n">
        <f aca="false">IF(AND(G14&gt;0,INDEX(HerHandicap,4)="Oui"),AbatHandicap,0)</f>
        <v>0</v>
      </c>
      <c r="J14" s="38" t="n">
        <f aca="false">IF(B14="",0,SUMIFS(DonAbatConso,DonNom,B14))</f>
        <v>0</v>
      </c>
      <c r="K14" s="38" t="n">
        <f aca="false">MAX(0,H14+I14-J14)</f>
        <v>100000</v>
      </c>
      <c r="L14" s="56" t="n">
        <f aca="false">MAX(0,G14-K14)</f>
        <v>129550</v>
      </c>
      <c r="M14" s="10" t="str">
        <f aca="false">IF(C14="","",IFERROR(INDEX(AbatCat,MATCH(C14,AbatLien,0)),"Autres"))</f>
        <v>Ligne directe</v>
      </c>
      <c r="N14" s="56" t="n">
        <f aca="false">IF(OR(M14="",M14="Exonéré"),0,SUMPRODUCT((BarCat=M14)*(L14&gt;BarSeuil)*(L14-BarSeuil)*(BarTaux-BarPrev)))</f>
        <v>24104.35</v>
      </c>
      <c r="O14" s="39" t="n">
        <f aca="false">IF(D14+F14=0,0,N14/(D14+F14))</f>
        <v>0.101066457023061</v>
      </c>
      <c r="P14" s="38" t="n">
        <f aca="false">D14-N14</f>
        <v>214395.65</v>
      </c>
    </row>
    <row r="15" customFormat="false" ht="15" hidden="false" customHeight="false" outlineLevel="0" collapsed="false">
      <c r="B15" s="50" t="str">
        <f aca="false">IF(INDEX(HerNom,5)="","",INDEX(HerNom,5))</f>
        <v/>
      </c>
      <c r="C15" s="50" t="str">
        <f aca="false">IF(INDEX(HerPresent,5)=1,INDEX(HerLien,5),"")</f>
        <v/>
      </c>
      <c r="D15" s="55" t="n">
        <f aca="false">INDEX(HerValeur,5)</f>
        <v>0</v>
      </c>
      <c r="E15" s="38" t="n">
        <f aca="false">D15*CoefFiscal</f>
        <v>0</v>
      </c>
      <c r="F15" s="38" t="n">
        <f aca="false">IF(B15="",0,SUMIFS(AV_Taxable757,AV_BenefNom,B15))</f>
        <v>0</v>
      </c>
      <c r="G15" s="38" t="n">
        <f aca="false">E15+F15</f>
        <v>0</v>
      </c>
      <c r="H15" s="38" t="n">
        <f aca="false">IF(G15=0,0,IFERROR(INDEX(AbatMontant,MATCH(C15,AbatLien,0)),0))</f>
        <v>0</v>
      </c>
      <c r="I15" s="38" t="n">
        <f aca="false">IF(AND(G15&gt;0,INDEX(HerHandicap,5)="Oui"),AbatHandicap,0)</f>
        <v>0</v>
      </c>
      <c r="J15" s="38" t="n">
        <f aca="false">IF(B15="",0,SUMIFS(DonAbatConso,DonNom,B15))</f>
        <v>0</v>
      </c>
      <c r="K15" s="38" t="n">
        <f aca="false">MAX(0,H15+I15-J15)</f>
        <v>0</v>
      </c>
      <c r="L15" s="56" t="n">
        <f aca="false">MAX(0,G15-K15)</f>
        <v>0</v>
      </c>
      <c r="M15" s="10" t="str">
        <f aca="false">IF(C15="","",IFERROR(INDEX(AbatCat,MATCH(C15,AbatLien,0)),"Autres"))</f>
        <v/>
      </c>
      <c r="N15" s="56" t="n">
        <f aca="false">IF(OR(M15="",M15="Exonéré"),0,SUMPRODUCT((BarCat=M15)*(L15&gt;BarSeuil)*(L15-BarSeuil)*(BarTaux-BarPrev)))</f>
        <v>0</v>
      </c>
      <c r="O15" s="39" t="n">
        <f aca="false">IF(D15+F15=0,0,N15/(D15+F15))</f>
        <v>0</v>
      </c>
      <c r="P15" s="38" t="n">
        <f aca="false">D15-N15</f>
        <v>0</v>
      </c>
    </row>
    <row r="16" customFormat="false" ht="15" hidden="false" customHeight="false" outlineLevel="0" collapsed="false">
      <c r="B16" s="50" t="str">
        <f aca="false">IF(INDEX(HerNom,6)="","",INDEX(HerNom,6))</f>
        <v/>
      </c>
      <c r="C16" s="50" t="str">
        <f aca="false">IF(INDEX(HerPresent,6)=1,INDEX(HerLien,6),"")</f>
        <v/>
      </c>
      <c r="D16" s="55" t="n">
        <f aca="false">INDEX(HerValeur,6)</f>
        <v>0</v>
      </c>
      <c r="E16" s="38" t="n">
        <f aca="false">D16*CoefFiscal</f>
        <v>0</v>
      </c>
      <c r="F16" s="38" t="n">
        <f aca="false">IF(B16="",0,SUMIFS(AV_Taxable757,AV_BenefNom,B16))</f>
        <v>0</v>
      </c>
      <c r="G16" s="38" t="n">
        <f aca="false">E16+F16</f>
        <v>0</v>
      </c>
      <c r="H16" s="38" t="n">
        <f aca="false">IF(G16=0,0,IFERROR(INDEX(AbatMontant,MATCH(C16,AbatLien,0)),0))</f>
        <v>0</v>
      </c>
      <c r="I16" s="38" t="n">
        <f aca="false">IF(AND(G16&gt;0,INDEX(HerHandicap,6)="Oui"),AbatHandicap,0)</f>
        <v>0</v>
      </c>
      <c r="J16" s="38" t="n">
        <f aca="false">IF(B16="",0,SUMIFS(DonAbatConso,DonNom,B16))</f>
        <v>0</v>
      </c>
      <c r="K16" s="38" t="n">
        <f aca="false">MAX(0,H16+I16-J16)</f>
        <v>0</v>
      </c>
      <c r="L16" s="56" t="n">
        <f aca="false">MAX(0,G16-K16)</f>
        <v>0</v>
      </c>
      <c r="M16" s="10" t="str">
        <f aca="false">IF(C16="","",IFERROR(INDEX(AbatCat,MATCH(C16,AbatLien,0)),"Autres"))</f>
        <v/>
      </c>
      <c r="N16" s="56" t="n">
        <f aca="false">IF(OR(M16="",M16="Exonéré"),0,SUMPRODUCT((BarCat=M16)*(L16&gt;BarSeuil)*(L16-BarSeuil)*(BarTaux-BarPrev)))</f>
        <v>0</v>
      </c>
      <c r="O16" s="39" t="n">
        <f aca="false">IF(D16+F16=0,0,N16/(D16+F16))</f>
        <v>0</v>
      </c>
      <c r="P16" s="38" t="n">
        <f aca="false">D16-N16</f>
        <v>0</v>
      </c>
    </row>
    <row r="17" customFormat="false" ht="15" hidden="false" customHeight="false" outlineLevel="0" collapsed="false">
      <c r="B17" s="50" t="str">
        <f aca="false">IF(INDEX(HerNom,7)="","",INDEX(HerNom,7))</f>
        <v/>
      </c>
      <c r="C17" s="50" t="str">
        <f aca="false">IF(INDEX(HerPresent,7)=1,INDEX(HerLien,7),"")</f>
        <v/>
      </c>
      <c r="D17" s="55" t="n">
        <f aca="false">INDEX(HerValeur,7)</f>
        <v>0</v>
      </c>
      <c r="E17" s="38" t="n">
        <f aca="false">D17*CoefFiscal</f>
        <v>0</v>
      </c>
      <c r="F17" s="38" t="n">
        <f aca="false">IF(B17="",0,SUMIFS(AV_Taxable757,AV_BenefNom,B17))</f>
        <v>0</v>
      </c>
      <c r="G17" s="38" t="n">
        <f aca="false">E17+F17</f>
        <v>0</v>
      </c>
      <c r="H17" s="38" t="n">
        <f aca="false">IF(G17=0,0,IFERROR(INDEX(AbatMontant,MATCH(C17,AbatLien,0)),0))</f>
        <v>0</v>
      </c>
      <c r="I17" s="38" t="n">
        <f aca="false">IF(AND(G17&gt;0,INDEX(HerHandicap,7)="Oui"),AbatHandicap,0)</f>
        <v>0</v>
      </c>
      <c r="J17" s="38" t="n">
        <f aca="false">IF(B17="",0,SUMIFS(DonAbatConso,DonNom,B17))</f>
        <v>0</v>
      </c>
      <c r="K17" s="38" t="n">
        <f aca="false">MAX(0,H17+I17-J17)</f>
        <v>0</v>
      </c>
      <c r="L17" s="56" t="n">
        <f aca="false">MAX(0,G17-K17)</f>
        <v>0</v>
      </c>
      <c r="M17" s="10" t="str">
        <f aca="false">IF(C17="","",IFERROR(INDEX(AbatCat,MATCH(C17,AbatLien,0)),"Autres"))</f>
        <v/>
      </c>
      <c r="N17" s="56" t="n">
        <f aca="false">IF(OR(M17="",M17="Exonéré"),0,SUMPRODUCT((BarCat=M17)*(L17&gt;BarSeuil)*(L17-BarSeuil)*(BarTaux-BarPrev)))</f>
        <v>0</v>
      </c>
      <c r="O17" s="39" t="n">
        <f aca="false">IF(D17+F17=0,0,N17/(D17+F17))</f>
        <v>0</v>
      </c>
      <c r="P17" s="38" t="n">
        <f aca="false">D17-N17</f>
        <v>0</v>
      </c>
    </row>
    <row r="18" customFormat="false" ht="15" hidden="false" customHeight="false" outlineLevel="0" collapsed="false">
      <c r="B18" s="50" t="str">
        <f aca="false">IF(INDEX(HerNom,8)="","",INDEX(HerNom,8))</f>
        <v/>
      </c>
      <c r="C18" s="50" t="str">
        <f aca="false">IF(INDEX(HerPresent,8)=1,INDEX(HerLien,8),"")</f>
        <v/>
      </c>
      <c r="D18" s="55" t="n">
        <f aca="false">INDEX(HerValeur,8)</f>
        <v>0</v>
      </c>
      <c r="E18" s="38" t="n">
        <f aca="false">D18*CoefFiscal</f>
        <v>0</v>
      </c>
      <c r="F18" s="38" t="n">
        <f aca="false">IF(B18="",0,SUMIFS(AV_Taxable757,AV_BenefNom,B18))</f>
        <v>0</v>
      </c>
      <c r="G18" s="38" t="n">
        <f aca="false">E18+F18</f>
        <v>0</v>
      </c>
      <c r="H18" s="38" t="n">
        <f aca="false">IF(G18=0,0,IFERROR(INDEX(AbatMontant,MATCH(C18,AbatLien,0)),0))</f>
        <v>0</v>
      </c>
      <c r="I18" s="38" t="n">
        <f aca="false">IF(AND(G18&gt;0,INDEX(HerHandicap,8)="Oui"),AbatHandicap,0)</f>
        <v>0</v>
      </c>
      <c r="J18" s="38" t="n">
        <f aca="false">IF(B18="",0,SUMIFS(DonAbatConso,DonNom,B18))</f>
        <v>0</v>
      </c>
      <c r="K18" s="38" t="n">
        <f aca="false">MAX(0,H18+I18-J18)</f>
        <v>0</v>
      </c>
      <c r="L18" s="56" t="n">
        <f aca="false">MAX(0,G18-K18)</f>
        <v>0</v>
      </c>
      <c r="M18" s="10" t="str">
        <f aca="false">IF(C18="","",IFERROR(INDEX(AbatCat,MATCH(C18,AbatLien,0)),"Autres"))</f>
        <v/>
      </c>
      <c r="N18" s="56" t="n">
        <f aca="false">IF(OR(M18="",M18="Exonéré"),0,SUMPRODUCT((BarCat=M18)*(L18&gt;BarSeuil)*(L18-BarSeuil)*(BarTaux-BarPrev)))</f>
        <v>0</v>
      </c>
      <c r="O18" s="39" t="n">
        <f aca="false">IF(D18+F18=0,0,N18/(D18+F18))</f>
        <v>0</v>
      </c>
      <c r="P18" s="38" t="n">
        <f aca="false">D18-N18</f>
        <v>0</v>
      </c>
    </row>
    <row r="19" customFormat="false" ht="15" hidden="false" customHeight="false" outlineLevel="0" collapsed="false">
      <c r="B19" s="50" t="str">
        <f aca="false">IF(INDEX(HerNom,9)="","",INDEX(HerNom,9))</f>
        <v/>
      </c>
      <c r="C19" s="50" t="str">
        <f aca="false">IF(INDEX(HerPresent,9)=1,INDEX(HerLien,9),"")</f>
        <v/>
      </c>
      <c r="D19" s="55" t="n">
        <f aca="false">INDEX(HerValeur,9)</f>
        <v>0</v>
      </c>
      <c r="E19" s="38" t="n">
        <f aca="false">D19*CoefFiscal</f>
        <v>0</v>
      </c>
      <c r="F19" s="38" t="n">
        <f aca="false">IF(B19="",0,SUMIFS(AV_Taxable757,AV_BenefNom,B19))</f>
        <v>0</v>
      </c>
      <c r="G19" s="38" t="n">
        <f aca="false">E19+F19</f>
        <v>0</v>
      </c>
      <c r="H19" s="38" t="n">
        <f aca="false">IF(G19=0,0,IFERROR(INDEX(AbatMontant,MATCH(C19,AbatLien,0)),0))</f>
        <v>0</v>
      </c>
      <c r="I19" s="38" t="n">
        <f aca="false">IF(AND(G19&gt;0,INDEX(HerHandicap,9)="Oui"),AbatHandicap,0)</f>
        <v>0</v>
      </c>
      <c r="J19" s="38" t="n">
        <f aca="false">IF(B19="",0,SUMIFS(DonAbatConso,DonNom,B19))</f>
        <v>0</v>
      </c>
      <c r="K19" s="38" t="n">
        <f aca="false">MAX(0,H19+I19-J19)</f>
        <v>0</v>
      </c>
      <c r="L19" s="56" t="n">
        <f aca="false">MAX(0,G19-K19)</f>
        <v>0</v>
      </c>
      <c r="M19" s="10" t="str">
        <f aca="false">IF(C19="","",IFERROR(INDEX(AbatCat,MATCH(C19,AbatLien,0)),"Autres"))</f>
        <v/>
      </c>
      <c r="N19" s="56" t="n">
        <f aca="false">IF(OR(M19="",M19="Exonéré"),0,SUMPRODUCT((BarCat=M19)*(L19&gt;BarSeuil)*(L19-BarSeuil)*(BarTaux-BarPrev)))</f>
        <v>0</v>
      </c>
      <c r="O19" s="39" t="n">
        <f aca="false">IF(D19+F19=0,0,N19/(D19+F19))</f>
        <v>0</v>
      </c>
      <c r="P19" s="38" t="n">
        <f aca="false">D19-N19</f>
        <v>0</v>
      </c>
    </row>
    <row r="20" customFormat="false" ht="15" hidden="false" customHeight="false" outlineLevel="0" collapsed="false">
      <c r="B20" s="50" t="str">
        <f aca="false">IF(INDEX(HerNom,10)="","",INDEX(HerNom,10))</f>
        <v>Ascendant privilégié n° 1 (père / mère)</v>
      </c>
      <c r="C20" s="50" t="str">
        <f aca="false">IF(INDEX(HerPresent,10)=1,INDEX(HerLien,10),"")</f>
        <v/>
      </c>
      <c r="D20" s="55" t="n">
        <f aca="false">INDEX(HerValeur,10)</f>
        <v>0</v>
      </c>
      <c r="E20" s="38" t="n">
        <f aca="false">D20*CoefFiscal</f>
        <v>0</v>
      </c>
      <c r="F20" s="38" t="n">
        <f aca="false">IF(B20="",0,SUMIFS(AV_Taxable757,AV_BenefNom,B20))</f>
        <v>0</v>
      </c>
      <c r="G20" s="38" t="n">
        <f aca="false">E20+F20</f>
        <v>0</v>
      </c>
      <c r="H20" s="38" t="n">
        <f aca="false">IF(G20=0,0,IFERROR(INDEX(AbatMontant,MATCH(C20,AbatLien,0)),0))</f>
        <v>0</v>
      </c>
      <c r="I20" s="38" t="n">
        <f aca="false">IF(AND(G20&gt;0,INDEX(HerHandicap,10)="Oui"),AbatHandicap,0)</f>
        <v>0</v>
      </c>
      <c r="J20" s="38" t="n">
        <f aca="false">IF(B20="",0,SUMIFS(DonAbatConso,DonNom,B20))</f>
        <v>0</v>
      </c>
      <c r="K20" s="38" t="n">
        <f aca="false">MAX(0,H20+I20-J20)</f>
        <v>0</v>
      </c>
      <c r="L20" s="56" t="n">
        <f aca="false">MAX(0,G20-K20)</f>
        <v>0</v>
      </c>
      <c r="M20" s="10" t="str">
        <f aca="false">IF(C20="","",IFERROR(INDEX(AbatCat,MATCH(C20,AbatLien,0)),"Autres"))</f>
        <v/>
      </c>
      <c r="N20" s="56" t="n">
        <f aca="false">IF(OR(M20="",M20="Exonéré"),0,SUMPRODUCT((BarCat=M20)*(L20&gt;BarSeuil)*(L20-BarSeuil)*(BarTaux-BarPrev)))</f>
        <v>0</v>
      </c>
      <c r="O20" s="39" t="n">
        <f aca="false">IF(D20+F20=0,0,N20/(D20+F20))</f>
        <v>0</v>
      </c>
      <c r="P20" s="38" t="n">
        <f aca="false">D20-N20</f>
        <v>0</v>
      </c>
    </row>
    <row r="21" customFormat="false" ht="15" hidden="false" customHeight="false" outlineLevel="0" collapsed="false">
      <c r="B21" s="50" t="str">
        <f aca="false">IF(INDEX(HerNom,11)="","",INDEX(HerNom,11))</f>
        <v>Ascendant privilégié n° 2 (père / mère)</v>
      </c>
      <c r="C21" s="50" t="str">
        <f aca="false">IF(INDEX(HerPresent,11)=1,INDEX(HerLien,11),"")</f>
        <v/>
      </c>
      <c r="D21" s="55" t="n">
        <f aca="false">INDEX(HerValeur,11)</f>
        <v>0</v>
      </c>
      <c r="E21" s="38" t="n">
        <f aca="false">D21*CoefFiscal</f>
        <v>0</v>
      </c>
      <c r="F21" s="38" t="n">
        <f aca="false">IF(B21="",0,SUMIFS(AV_Taxable757,AV_BenefNom,B21))</f>
        <v>0</v>
      </c>
      <c r="G21" s="38" t="n">
        <f aca="false">E21+F21</f>
        <v>0</v>
      </c>
      <c r="H21" s="38" t="n">
        <f aca="false">IF(G21=0,0,IFERROR(INDEX(AbatMontant,MATCH(C21,AbatLien,0)),0))</f>
        <v>0</v>
      </c>
      <c r="I21" s="38" t="n">
        <f aca="false">IF(AND(G21&gt;0,INDEX(HerHandicap,11)="Oui"),AbatHandicap,0)</f>
        <v>0</v>
      </c>
      <c r="J21" s="38" t="n">
        <f aca="false">IF(B21="",0,SUMIFS(DonAbatConso,DonNom,B21))</f>
        <v>0</v>
      </c>
      <c r="K21" s="38" t="n">
        <f aca="false">MAX(0,H21+I21-J21)</f>
        <v>0</v>
      </c>
      <c r="L21" s="56" t="n">
        <f aca="false">MAX(0,G21-K21)</f>
        <v>0</v>
      </c>
      <c r="M21" s="10" t="str">
        <f aca="false">IF(C21="","",IFERROR(INDEX(AbatCat,MATCH(C21,AbatLien,0)),"Autres"))</f>
        <v/>
      </c>
      <c r="N21" s="56" t="n">
        <f aca="false">IF(OR(M21="",M21="Exonéré"),0,SUMPRODUCT((BarCat=M21)*(L21&gt;BarSeuil)*(L21-BarSeuil)*(BarTaux-BarPrev)))</f>
        <v>0</v>
      </c>
      <c r="O21" s="39" t="n">
        <f aca="false">IF(D21+F21=0,0,N21/(D21+F21))</f>
        <v>0</v>
      </c>
      <c r="P21" s="38" t="n">
        <f aca="false">D21-N21</f>
        <v>0</v>
      </c>
    </row>
    <row r="22" customFormat="false" ht="15" hidden="false" customHeight="false" outlineLevel="0" collapsed="false">
      <c r="B22" s="50" t="str">
        <f aca="false">IF(INDEX(HerNom,12)="","",INDEX(HerNom,12))</f>
        <v>Frère / sœur n° 1</v>
      </c>
      <c r="C22" s="50" t="str">
        <f aca="false">IF(INDEX(HerPresent,12)=1,INDEX(HerLien,12),"")</f>
        <v/>
      </c>
      <c r="D22" s="55" t="n">
        <f aca="false">INDEX(HerValeur,12)</f>
        <v>0</v>
      </c>
      <c r="E22" s="38" t="n">
        <f aca="false">D22*CoefFiscal</f>
        <v>0</v>
      </c>
      <c r="F22" s="38" t="n">
        <f aca="false">IF(B22="",0,SUMIFS(AV_Taxable757,AV_BenefNom,B22))</f>
        <v>0</v>
      </c>
      <c r="G22" s="38" t="n">
        <f aca="false">E22+F22</f>
        <v>0</v>
      </c>
      <c r="H22" s="38" t="n">
        <f aca="false">IF(G22=0,0,IFERROR(INDEX(AbatMontant,MATCH(C22,AbatLien,0)),0))</f>
        <v>0</v>
      </c>
      <c r="I22" s="38" t="n">
        <f aca="false">IF(AND(G22&gt;0,INDEX(HerHandicap,12)="Oui"),AbatHandicap,0)</f>
        <v>0</v>
      </c>
      <c r="J22" s="38" t="n">
        <f aca="false">IF(B22="",0,SUMIFS(DonAbatConso,DonNom,B22))</f>
        <v>0</v>
      </c>
      <c r="K22" s="38" t="n">
        <f aca="false">MAX(0,H22+I22-J22)</f>
        <v>0</v>
      </c>
      <c r="L22" s="56" t="n">
        <f aca="false">MAX(0,G22-K22)</f>
        <v>0</v>
      </c>
      <c r="M22" s="10" t="str">
        <f aca="false">IF(C22="","",IFERROR(INDEX(AbatCat,MATCH(C22,AbatLien,0)),"Autres"))</f>
        <v/>
      </c>
      <c r="N22" s="56" t="n">
        <f aca="false">IF(OR(M22="",M22="Exonéré"),0,SUMPRODUCT((BarCat=M22)*(L22&gt;BarSeuil)*(L22-BarSeuil)*(BarTaux-BarPrev)))</f>
        <v>0</v>
      </c>
      <c r="O22" s="39" t="n">
        <f aca="false">IF(D22+F22=0,0,N22/(D22+F22))</f>
        <v>0</v>
      </c>
      <c r="P22" s="38" t="n">
        <f aca="false">D22-N22</f>
        <v>0</v>
      </c>
    </row>
    <row r="23" customFormat="false" ht="15" hidden="false" customHeight="false" outlineLevel="0" collapsed="false">
      <c r="B23" s="50" t="str">
        <f aca="false">IF(INDEX(HerNom,13)="","",INDEX(HerNom,13))</f>
        <v>Frère / sœur n° 2</v>
      </c>
      <c r="C23" s="50" t="str">
        <f aca="false">IF(INDEX(HerPresent,13)=1,INDEX(HerLien,13),"")</f>
        <v/>
      </c>
      <c r="D23" s="55" t="n">
        <f aca="false">INDEX(HerValeur,13)</f>
        <v>0</v>
      </c>
      <c r="E23" s="38" t="n">
        <f aca="false">D23*CoefFiscal</f>
        <v>0</v>
      </c>
      <c r="F23" s="38" t="n">
        <f aca="false">IF(B23="",0,SUMIFS(AV_Taxable757,AV_BenefNom,B23))</f>
        <v>0</v>
      </c>
      <c r="G23" s="38" t="n">
        <f aca="false">E23+F23</f>
        <v>0</v>
      </c>
      <c r="H23" s="38" t="n">
        <f aca="false">IF(G23=0,0,IFERROR(INDEX(AbatMontant,MATCH(C23,AbatLien,0)),0))</f>
        <v>0</v>
      </c>
      <c r="I23" s="38" t="n">
        <f aca="false">IF(AND(G23&gt;0,INDEX(HerHandicap,13)="Oui"),AbatHandicap,0)</f>
        <v>0</v>
      </c>
      <c r="J23" s="38" t="n">
        <f aca="false">IF(B23="",0,SUMIFS(DonAbatConso,DonNom,B23))</f>
        <v>0</v>
      </c>
      <c r="K23" s="38" t="n">
        <f aca="false">MAX(0,H23+I23-J23)</f>
        <v>0</v>
      </c>
      <c r="L23" s="56" t="n">
        <f aca="false">MAX(0,G23-K23)</f>
        <v>0</v>
      </c>
      <c r="M23" s="10" t="str">
        <f aca="false">IF(C23="","",IFERROR(INDEX(AbatCat,MATCH(C23,AbatLien,0)),"Autres"))</f>
        <v/>
      </c>
      <c r="N23" s="56" t="n">
        <f aca="false">IF(OR(M23="",M23="Exonéré"),0,SUMPRODUCT((BarCat=M23)*(L23&gt;BarSeuil)*(L23-BarSeuil)*(BarTaux-BarPrev)))</f>
        <v>0</v>
      </c>
      <c r="O23" s="39" t="n">
        <f aca="false">IF(D23+F23=0,0,N23/(D23+F23))</f>
        <v>0</v>
      </c>
      <c r="P23" s="38" t="n">
        <f aca="false">D23-N23</f>
        <v>0</v>
      </c>
    </row>
    <row r="24" customFormat="false" ht="15" hidden="false" customHeight="false" outlineLevel="0" collapsed="false">
      <c r="B24" s="50" t="str">
        <f aca="false">IF(INDEX(HerNom,14)="","",INDEX(HerNom,14))</f>
        <v>Frère / sœur n° 3</v>
      </c>
      <c r="C24" s="50" t="str">
        <f aca="false">IF(INDEX(HerPresent,14)=1,INDEX(HerLien,14),"")</f>
        <v/>
      </c>
      <c r="D24" s="55" t="n">
        <f aca="false">INDEX(HerValeur,14)</f>
        <v>0</v>
      </c>
      <c r="E24" s="38" t="n">
        <f aca="false">D24*CoefFiscal</f>
        <v>0</v>
      </c>
      <c r="F24" s="38" t="n">
        <f aca="false">IF(B24="",0,SUMIFS(AV_Taxable757,AV_BenefNom,B24))</f>
        <v>0</v>
      </c>
      <c r="G24" s="38" t="n">
        <f aca="false">E24+F24</f>
        <v>0</v>
      </c>
      <c r="H24" s="38" t="n">
        <f aca="false">IF(G24=0,0,IFERROR(INDEX(AbatMontant,MATCH(C24,AbatLien,0)),0))</f>
        <v>0</v>
      </c>
      <c r="I24" s="38" t="n">
        <f aca="false">IF(AND(G24&gt;0,INDEX(HerHandicap,14)="Oui"),AbatHandicap,0)</f>
        <v>0</v>
      </c>
      <c r="J24" s="38" t="n">
        <f aca="false">IF(B24="",0,SUMIFS(DonAbatConso,DonNom,B24))</f>
        <v>0</v>
      </c>
      <c r="K24" s="38" t="n">
        <f aca="false">MAX(0,H24+I24-J24)</f>
        <v>0</v>
      </c>
      <c r="L24" s="56" t="n">
        <f aca="false">MAX(0,G24-K24)</f>
        <v>0</v>
      </c>
      <c r="M24" s="10" t="str">
        <f aca="false">IF(C24="","",IFERROR(INDEX(AbatCat,MATCH(C24,AbatLien,0)),"Autres"))</f>
        <v/>
      </c>
      <c r="N24" s="56" t="n">
        <f aca="false">IF(OR(M24="",M24="Exonéré"),0,SUMPRODUCT((BarCat=M24)*(L24&gt;BarSeuil)*(L24-BarSeuil)*(BarTaux-BarPrev)))</f>
        <v>0</v>
      </c>
      <c r="O24" s="39" t="n">
        <f aca="false">IF(D24+F24=0,0,N24/(D24+F24))</f>
        <v>0</v>
      </c>
      <c r="P24" s="38" t="n">
        <f aca="false">D24-N24</f>
        <v>0</v>
      </c>
    </row>
    <row r="25" customFormat="false" ht="15" hidden="false" customHeight="false" outlineLevel="0" collapsed="false">
      <c r="B25" s="50" t="str">
        <f aca="false">IF(INDEX(HerNom,15)="","",INDEX(HerNom,15))</f>
        <v>Frère / sœur n° 4</v>
      </c>
      <c r="C25" s="50" t="str">
        <f aca="false">IF(INDEX(HerPresent,15)=1,INDEX(HerLien,15),"")</f>
        <v/>
      </c>
      <c r="D25" s="55" t="n">
        <f aca="false">INDEX(HerValeur,15)</f>
        <v>0</v>
      </c>
      <c r="E25" s="38" t="n">
        <f aca="false">D25*CoefFiscal</f>
        <v>0</v>
      </c>
      <c r="F25" s="38" t="n">
        <f aca="false">IF(B25="",0,SUMIFS(AV_Taxable757,AV_BenefNom,B25))</f>
        <v>0</v>
      </c>
      <c r="G25" s="38" t="n">
        <f aca="false">E25+F25</f>
        <v>0</v>
      </c>
      <c r="H25" s="38" t="n">
        <f aca="false">IF(G25=0,0,IFERROR(INDEX(AbatMontant,MATCH(C25,AbatLien,0)),0))</f>
        <v>0</v>
      </c>
      <c r="I25" s="38" t="n">
        <f aca="false">IF(AND(G25&gt;0,INDEX(HerHandicap,15)="Oui"),AbatHandicap,0)</f>
        <v>0</v>
      </c>
      <c r="J25" s="38" t="n">
        <f aca="false">IF(B25="",0,SUMIFS(DonAbatConso,DonNom,B25))</f>
        <v>0</v>
      </c>
      <c r="K25" s="38" t="n">
        <f aca="false">MAX(0,H25+I25-J25)</f>
        <v>0</v>
      </c>
      <c r="L25" s="56" t="n">
        <f aca="false">MAX(0,G25-K25)</f>
        <v>0</v>
      </c>
      <c r="M25" s="10" t="str">
        <f aca="false">IF(C25="","",IFERROR(INDEX(AbatCat,MATCH(C25,AbatLien,0)),"Autres"))</f>
        <v/>
      </c>
      <c r="N25" s="56" t="n">
        <f aca="false">IF(OR(M25="",M25="Exonéré"),0,SUMPRODUCT((BarCat=M25)*(L25&gt;BarSeuil)*(L25-BarSeuil)*(BarTaux-BarPrev)))</f>
        <v>0</v>
      </c>
      <c r="O25" s="39" t="n">
        <f aca="false">IF(D25+F25=0,0,N25/(D25+F25))</f>
        <v>0</v>
      </c>
      <c r="P25" s="38" t="n">
        <f aca="false">D25-N25</f>
        <v>0</v>
      </c>
    </row>
    <row r="26" customFormat="false" ht="15" hidden="false" customHeight="false" outlineLevel="0" collapsed="false">
      <c r="B26" s="50" t="str">
        <f aca="false">IF(INDEX(HerNom,16)="","",INDEX(HerNom,16))</f>
        <v/>
      </c>
      <c r="C26" s="50" t="str">
        <f aca="false">IF(INDEX(HerPresent,16)=1,INDEX(HerLien,16),"")</f>
        <v/>
      </c>
      <c r="D26" s="55" t="n">
        <f aca="false">INDEX(HerValeur,16)</f>
        <v>0</v>
      </c>
      <c r="E26" s="38" t="n">
        <f aca="false">D26*CoefFiscal</f>
        <v>0</v>
      </c>
      <c r="F26" s="38" t="n">
        <f aca="false">IF(B26="",0,SUMIFS(AV_Taxable757,AV_BenefNom,B26))</f>
        <v>0</v>
      </c>
      <c r="G26" s="38" t="n">
        <f aca="false">E26+F26</f>
        <v>0</v>
      </c>
      <c r="H26" s="38" t="n">
        <f aca="false">IF(G26=0,0,IFERROR(INDEX(AbatMontant,MATCH(C26,AbatLien,0)),0))</f>
        <v>0</v>
      </c>
      <c r="I26" s="38" t="n">
        <f aca="false">IF(AND(G26&gt;0,INDEX(HerHandicap,16)="Oui"),AbatHandicap,0)</f>
        <v>0</v>
      </c>
      <c r="J26" s="38" t="n">
        <f aca="false">IF(B26="",0,SUMIFS(DonAbatConso,DonNom,B26))</f>
        <v>0</v>
      </c>
      <c r="K26" s="38" t="n">
        <f aca="false">MAX(0,H26+I26-J26)</f>
        <v>0</v>
      </c>
      <c r="L26" s="56" t="n">
        <f aca="false">MAX(0,G26-K26)</f>
        <v>0</v>
      </c>
      <c r="M26" s="10" t="str">
        <f aca="false">IF(C26="","",IFERROR(INDEX(AbatCat,MATCH(C26,AbatLien,0)),"Autres"))</f>
        <v/>
      </c>
      <c r="N26" s="56" t="n">
        <f aca="false">IF(OR(M26="",M26="Exonéré"),0,SUMPRODUCT((BarCat=M26)*(L26&gt;BarSeuil)*(L26-BarSeuil)*(BarTaux-BarPrev)))</f>
        <v>0</v>
      </c>
      <c r="O26" s="39" t="n">
        <f aca="false">IF(D26+F26=0,0,N26/(D26+F26))</f>
        <v>0</v>
      </c>
      <c r="P26" s="38" t="n">
        <f aca="false">D26-N26</f>
        <v>0</v>
      </c>
    </row>
    <row r="27" customFormat="false" ht="15" hidden="false" customHeight="false" outlineLevel="0" collapsed="false">
      <c r="B27" s="50" t="str">
        <f aca="false">IF(INDEX(HerNom,17)="","",INDEX(HerNom,17))</f>
        <v/>
      </c>
      <c r="C27" s="50" t="str">
        <f aca="false">IF(INDEX(HerPresent,17)=1,INDEX(HerLien,17),"")</f>
        <v/>
      </c>
      <c r="D27" s="55" t="n">
        <f aca="false">INDEX(HerValeur,17)</f>
        <v>0</v>
      </c>
      <c r="E27" s="38" t="n">
        <f aca="false">D27*CoefFiscal</f>
        <v>0</v>
      </c>
      <c r="F27" s="38" t="n">
        <f aca="false">IF(B27="",0,SUMIFS(AV_Taxable757,AV_BenefNom,B27))</f>
        <v>0</v>
      </c>
      <c r="G27" s="38" t="n">
        <f aca="false">E27+F27</f>
        <v>0</v>
      </c>
      <c r="H27" s="38" t="n">
        <f aca="false">IF(G27=0,0,IFERROR(INDEX(AbatMontant,MATCH(C27,AbatLien,0)),0))</f>
        <v>0</v>
      </c>
      <c r="I27" s="38" t="n">
        <f aca="false">IF(AND(G27&gt;0,INDEX(HerHandicap,17)="Oui"),AbatHandicap,0)</f>
        <v>0</v>
      </c>
      <c r="J27" s="38" t="n">
        <f aca="false">IF(B27="",0,SUMIFS(DonAbatConso,DonNom,B27))</f>
        <v>0</v>
      </c>
      <c r="K27" s="38" t="n">
        <f aca="false">MAX(0,H27+I27-J27)</f>
        <v>0</v>
      </c>
      <c r="L27" s="56" t="n">
        <f aca="false">MAX(0,G27-K27)</f>
        <v>0</v>
      </c>
      <c r="M27" s="10" t="str">
        <f aca="false">IF(C27="","",IFERROR(INDEX(AbatCat,MATCH(C27,AbatLien,0)),"Autres"))</f>
        <v/>
      </c>
      <c r="N27" s="56" t="n">
        <f aca="false">IF(OR(M27="",M27="Exonéré"),0,SUMPRODUCT((BarCat=M27)*(L27&gt;BarSeuil)*(L27-BarSeuil)*(BarTaux-BarPrev)))</f>
        <v>0</v>
      </c>
      <c r="O27" s="39" t="n">
        <f aca="false">IF(D27+F27=0,0,N27/(D27+F27))</f>
        <v>0</v>
      </c>
      <c r="P27" s="38" t="n">
        <f aca="false">D27-N27</f>
        <v>0</v>
      </c>
    </row>
    <row r="28" customFormat="false" ht="15" hidden="false" customHeight="false" outlineLevel="0" collapsed="false">
      <c r="B28" s="50" t="str">
        <f aca="false">IF(INDEX(HerNom,18)="","",INDEX(HerNom,18))</f>
        <v/>
      </c>
      <c r="C28" s="50" t="str">
        <f aca="false">IF(INDEX(HerPresent,18)=1,INDEX(HerLien,18),"")</f>
        <v/>
      </c>
      <c r="D28" s="55" t="n">
        <f aca="false">INDEX(HerValeur,18)</f>
        <v>0</v>
      </c>
      <c r="E28" s="38" t="n">
        <f aca="false">D28*CoefFiscal</f>
        <v>0</v>
      </c>
      <c r="F28" s="38" t="n">
        <f aca="false">IF(B28="",0,SUMIFS(AV_Taxable757,AV_BenefNom,B28))</f>
        <v>0</v>
      </c>
      <c r="G28" s="38" t="n">
        <f aca="false">E28+F28</f>
        <v>0</v>
      </c>
      <c r="H28" s="38" t="n">
        <f aca="false">IF(G28=0,0,IFERROR(INDEX(AbatMontant,MATCH(C28,AbatLien,0)),0))</f>
        <v>0</v>
      </c>
      <c r="I28" s="38" t="n">
        <f aca="false">IF(AND(G28&gt;0,INDEX(HerHandicap,18)="Oui"),AbatHandicap,0)</f>
        <v>0</v>
      </c>
      <c r="J28" s="38" t="n">
        <f aca="false">IF(B28="",0,SUMIFS(DonAbatConso,DonNom,B28))</f>
        <v>0</v>
      </c>
      <c r="K28" s="38" t="n">
        <f aca="false">MAX(0,H28+I28-J28)</f>
        <v>0</v>
      </c>
      <c r="L28" s="56" t="n">
        <f aca="false">MAX(0,G28-K28)</f>
        <v>0</v>
      </c>
      <c r="M28" s="10" t="str">
        <f aca="false">IF(C28="","",IFERROR(INDEX(AbatCat,MATCH(C28,AbatLien,0)),"Autres"))</f>
        <v/>
      </c>
      <c r="N28" s="56" t="n">
        <f aca="false">IF(OR(M28="",M28="Exonéré"),0,SUMPRODUCT((BarCat=M28)*(L28&gt;BarSeuil)*(L28-BarSeuil)*(BarTaux-BarPrev)))</f>
        <v>0</v>
      </c>
      <c r="O28" s="39" t="n">
        <f aca="false">IF(D28+F28=0,0,N28/(D28+F28))</f>
        <v>0</v>
      </c>
      <c r="P28" s="38" t="n">
        <f aca="false">D28-N28</f>
        <v>0</v>
      </c>
    </row>
    <row r="29" customFormat="false" ht="15" hidden="false" customHeight="false" outlineLevel="0" collapsed="false">
      <c r="B29" s="50" t="str">
        <f aca="false">IF(INDEX(HerNom,19)="","",INDEX(HerNom,19))</f>
        <v/>
      </c>
      <c r="C29" s="50" t="str">
        <f aca="false">IF(INDEX(HerPresent,19)=1,INDEX(HerLien,19),"")</f>
        <v/>
      </c>
      <c r="D29" s="55" t="n">
        <f aca="false">INDEX(HerValeur,19)</f>
        <v>0</v>
      </c>
      <c r="E29" s="38" t="n">
        <f aca="false">D29*CoefFiscal</f>
        <v>0</v>
      </c>
      <c r="F29" s="38" t="n">
        <f aca="false">IF(B29="",0,SUMIFS(AV_Taxable757,AV_BenefNom,B29))</f>
        <v>0</v>
      </c>
      <c r="G29" s="38" t="n">
        <f aca="false">E29+F29</f>
        <v>0</v>
      </c>
      <c r="H29" s="38" t="n">
        <f aca="false">IF(G29=0,0,IFERROR(INDEX(AbatMontant,MATCH(C29,AbatLien,0)),0))</f>
        <v>0</v>
      </c>
      <c r="I29" s="38" t="n">
        <f aca="false">IF(AND(G29&gt;0,INDEX(HerHandicap,19)="Oui"),AbatHandicap,0)</f>
        <v>0</v>
      </c>
      <c r="J29" s="38" t="n">
        <f aca="false">IF(B29="",0,SUMIFS(DonAbatConso,DonNom,B29))</f>
        <v>0</v>
      </c>
      <c r="K29" s="38" t="n">
        <f aca="false">MAX(0,H29+I29-J29)</f>
        <v>0</v>
      </c>
      <c r="L29" s="56" t="n">
        <f aca="false">MAX(0,G29-K29)</f>
        <v>0</v>
      </c>
      <c r="M29" s="10" t="str">
        <f aca="false">IF(C29="","",IFERROR(INDEX(AbatCat,MATCH(C29,AbatLien,0)),"Autres"))</f>
        <v/>
      </c>
      <c r="N29" s="56" t="n">
        <f aca="false">IF(OR(M29="",M29="Exonéré"),0,SUMPRODUCT((BarCat=M29)*(L29&gt;BarSeuil)*(L29-BarSeuil)*(BarTaux-BarPrev)))</f>
        <v>0</v>
      </c>
      <c r="O29" s="39" t="n">
        <f aca="false">IF(D29+F29=0,0,N29/(D29+F29))</f>
        <v>0</v>
      </c>
      <c r="P29" s="38" t="n">
        <f aca="false">D29-N29</f>
        <v>0</v>
      </c>
    </row>
    <row r="30" customFormat="false" ht="15" hidden="false" customHeight="false" outlineLevel="0" collapsed="false">
      <c r="B30" s="50" t="str">
        <f aca="false">IF(INDEX(HerNom,20)="","",INDEX(HerNom,20))</f>
        <v>Autres héritiers (ordres 3 et 4) ou État</v>
      </c>
      <c r="C30" s="50" t="str">
        <f aca="false">IF(INDEX(HerPresent,20)=1,INDEX(HerLien,20),"")</f>
        <v/>
      </c>
      <c r="D30" s="55" t="n">
        <f aca="false">INDEX(HerValeur,20)</f>
        <v>0</v>
      </c>
      <c r="E30" s="38" t="n">
        <f aca="false">D30*CoefFiscal</f>
        <v>0</v>
      </c>
      <c r="F30" s="38" t="n">
        <f aca="false">IF(B30="",0,SUMIFS(AV_Taxable757,AV_BenefNom,B30))</f>
        <v>0</v>
      </c>
      <c r="G30" s="38" t="n">
        <f aca="false">E30+F30</f>
        <v>0</v>
      </c>
      <c r="H30" s="38" t="n">
        <f aca="false">IF(G30=0,0,IFERROR(INDEX(AbatMontant,MATCH(C30,AbatLien,0)),0))</f>
        <v>0</v>
      </c>
      <c r="I30" s="38" t="n">
        <f aca="false">IF(AND(G30&gt;0,INDEX(HerHandicap,20)="Oui"),AbatHandicap,0)</f>
        <v>0</v>
      </c>
      <c r="J30" s="38" t="n">
        <f aca="false">IF(B30="",0,SUMIFS(DonAbatConso,DonNom,B30))</f>
        <v>0</v>
      </c>
      <c r="K30" s="38" t="n">
        <f aca="false">MAX(0,H30+I30-J30)</f>
        <v>0</v>
      </c>
      <c r="L30" s="56" t="n">
        <f aca="false">MAX(0,G30-K30)</f>
        <v>0</v>
      </c>
      <c r="M30" s="10" t="str">
        <f aca="false">IF(C30="","",IFERROR(INDEX(AbatCat,MATCH(C30,AbatLien,0)),"Autres"))</f>
        <v/>
      </c>
      <c r="N30" s="56" t="n">
        <f aca="false">IF(OR(M30="",M30="Exonéré"),0,SUMPRODUCT((BarCat=M30)*(L30&gt;BarSeuil)*(L30-BarSeuil)*(BarTaux-BarPrev)))</f>
        <v>0</v>
      </c>
      <c r="O30" s="39" t="n">
        <f aca="false">IF(D30+F30=0,0,N30/(D30+F30))</f>
        <v>0</v>
      </c>
      <c r="P30" s="38" t="n">
        <f aca="false">D30-N30</f>
        <v>0</v>
      </c>
    </row>
    <row r="31" customFormat="false" ht="15" hidden="false" customHeight="false" outlineLevel="0" collapsed="false">
      <c r="B31" s="17" t="s">
        <v>337</v>
      </c>
      <c r="D31" s="40" t="n">
        <f aca="false">SUM(D11:D30)</f>
        <v>954000</v>
      </c>
      <c r="E31" s="40" t="n">
        <f aca="false">SUM(E11:E30)</f>
        <v>918200</v>
      </c>
      <c r="F31" s="40" t="n">
        <f aca="false">SUM(F11:F30)</f>
        <v>0</v>
      </c>
      <c r="L31" s="40" t="n">
        <f aca="false">SUM(L11:L30)</f>
        <v>708200</v>
      </c>
      <c r="N31" s="41" t="n">
        <f aca="false">SUM(N11:N30)</f>
        <v>90313.05</v>
      </c>
      <c r="P31" s="40" t="n">
        <f aca="false">SUM(P11:P30)</f>
        <v>863686.95</v>
      </c>
    </row>
    <row r="33" customFormat="false" ht="19.5" hidden="false" customHeight="true" outlineLevel="0" collapsed="false">
      <c r="A33" s="4" t="s">
        <v>338</v>
      </c>
      <c r="B33" s="5"/>
      <c r="C33" s="5"/>
      <c r="D33" s="5"/>
      <c r="E33" s="5"/>
      <c r="F33" s="5"/>
      <c r="G33" s="5"/>
      <c r="H33" s="5"/>
      <c r="I33" s="5"/>
      <c r="J33" s="5"/>
      <c r="K33" s="5"/>
      <c r="L33" s="5"/>
      <c r="M33" s="5"/>
      <c r="N33" s="5"/>
      <c r="O33" s="5"/>
      <c r="P33" s="5"/>
    </row>
    <row r="34" customFormat="false" ht="15" hidden="false" customHeight="false" outlineLevel="0" collapsed="false">
      <c r="B34" s="17" t="s">
        <v>339</v>
      </c>
      <c r="D34" s="41" t="n">
        <f aca="false">TotalDroits</f>
        <v>90313.05</v>
      </c>
    </row>
    <row r="35" customFormat="false" ht="15" hidden="false" customHeight="false" outlineLevel="0" collapsed="false">
      <c r="B35" s="9" t="s">
        <v>340</v>
      </c>
      <c r="D35" s="55" t="n">
        <f aca="false">AV_Prelevement990</f>
        <v>12500</v>
      </c>
    </row>
    <row r="36" customFormat="false" ht="15" hidden="false" customHeight="false" outlineLevel="0" collapsed="false">
      <c r="B36" s="17" t="s">
        <v>341</v>
      </c>
      <c r="D36" s="41" t="n">
        <f aca="false">TotalDroits+AV_Prelevement990</f>
        <v>102813.05</v>
      </c>
    </row>
    <row r="37" customFormat="false" ht="15" hidden="false" customHeight="false" outlineLevel="0" collapsed="false">
      <c r="B37" s="9" t="s">
        <v>342</v>
      </c>
      <c r="D37" s="55" t="n">
        <f aca="false">MasseCivile+AV_CapitalTotal</f>
        <v>1474000</v>
      </c>
    </row>
    <row r="38" customFormat="false" ht="15" hidden="false" customHeight="false" outlineLevel="0" collapsed="false">
      <c r="B38" s="17" t="s">
        <v>343</v>
      </c>
      <c r="D38" s="33" t="n">
        <f aca="false">IF(PatrimoineTransmis=0,0,CoutTransmission/PatrimoineTransmis)</f>
        <v>0.0697510515603799</v>
      </c>
    </row>
    <row r="40" customFormat="false" ht="19.5" hidden="false" customHeight="true" outlineLevel="0" collapsed="false">
      <c r="A40" s="4" t="s">
        <v>344</v>
      </c>
      <c r="B40" s="5"/>
      <c r="C40" s="5"/>
      <c r="D40" s="5"/>
      <c r="E40" s="5"/>
      <c r="F40" s="5"/>
      <c r="G40" s="5"/>
      <c r="H40" s="5"/>
      <c r="I40" s="5"/>
      <c r="J40" s="5"/>
      <c r="K40" s="5"/>
      <c r="L40" s="5"/>
      <c r="M40" s="5"/>
      <c r="N40" s="5"/>
      <c r="O40" s="5"/>
      <c r="P40" s="5"/>
    </row>
    <row r="41" customFormat="false" ht="15" hidden="false" customHeight="false" outlineLevel="0" collapsed="false">
      <c r="B41" s="57" t="s">
        <v>345</v>
      </c>
    </row>
    <row r="42" customFormat="false" ht="27.75" hidden="false" customHeight="true" outlineLevel="0" collapsed="false">
      <c r="B42" s="14" t="s">
        <v>254</v>
      </c>
      <c r="C42" s="14" t="s">
        <v>346</v>
      </c>
      <c r="D42" s="14" t="s">
        <v>347</v>
      </c>
      <c r="E42" s="14"/>
      <c r="F42" s="14" t="s">
        <v>348</v>
      </c>
      <c r="G42" s="14"/>
      <c r="H42" s="14" t="s">
        <v>349</v>
      </c>
      <c r="I42" s="14"/>
    </row>
    <row r="43" customFormat="false" ht="27.75" hidden="false" customHeight="true" outlineLevel="0" collapsed="false">
      <c r="D43" s="14" t="s">
        <v>350</v>
      </c>
      <c r="E43" s="14" t="s">
        <v>351</v>
      </c>
      <c r="F43" s="14" t="s">
        <v>350</v>
      </c>
      <c r="G43" s="14" t="s">
        <v>351</v>
      </c>
      <c r="H43" s="14" t="s">
        <v>350</v>
      </c>
      <c r="I43" s="14" t="s">
        <v>351</v>
      </c>
    </row>
    <row r="44" customFormat="false" ht="15" hidden="false" customHeight="false" outlineLevel="0" collapsed="false">
      <c r="B44" s="50" t="str">
        <f aca="false">IF(INDEX(HerNom,2)="","",INDEX(HerNom,2))</f>
        <v>Chloé</v>
      </c>
      <c r="C44" s="55" t="n">
        <f aca="false">K12</f>
        <v>40000</v>
      </c>
      <c r="D44" s="38" t="n">
        <f aca="false">IF(OR(NbEnfDefunt=0,INDEX(HerPresent,2)=0),0,MasseDevolution*CoefFiscal*0.75/NbEnfDefunt)</f>
        <v>229550</v>
      </c>
      <c r="E44" s="38" t="n">
        <f aca="false">SUMPRODUCT((BarCat="Ligne directe")*(MAX(0,D44-C44)&gt;BarSeuil)*(MAX(0,D44-C44)-BarSeuil)*(BarTaux-BarPrev))</f>
        <v>36104.35</v>
      </c>
      <c r="F44" s="38" t="n">
        <f aca="false">IF(OR(NbEnfDefunt=0,INDEX(HerPresent,2)=0),0,MasseDevolution*CoefFiscal*(1-TauxUsufruit)/NbEnfDefunt)</f>
        <v>153033.333333333</v>
      </c>
      <c r="G44" s="38" t="n">
        <f aca="false">SUMPRODUCT((BarCat="Ligne directe")*(MAX(0,F44-C44)&gt;BarSeuil)*(MAX(0,F44-C44)-BarSeuil)*(BarTaux-BarPrev))</f>
        <v>20801.0166666667</v>
      </c>
      <c r="H44" s="38" t="n">
        <f aca="false">IF(OR(NbEnfDefunt=0,INDEX(HerPresent,2)=0),0,MasseDevolution*CoefFiscal*0.75*(1-TauxUsufruit)/NbEnfDefunt)</f>
        <v>114775</v>
      </c>
      <c r="I44" s="38" t="n">
        <f aca="false">SUMPRODUCT((BarCat="Ligne directe")*(MAX(0,H44-C44)&gt;BarSeuil)*(MAX(0,H44-C44)-BarSeuil)*(BarTaux-BarPrev))</f>
        <v>13149.35</v>
      </c>
    </row>
    <row r="45" customFormat="false" ht="15" hidden="false" customHeight="false" outlineLevel="0" collapsed="false">
      <c r="B45" s="50" t="str">
        <f aca="false">IF(INDEX(HerNom,3)="","",INDEX(HerNom,3))</f>
        <v>Lucas</v>
      </c>
      <c r="C45" s="55" t="n">
        <f aca="false">K13</f>
        <v>70000</v>
      </c>
      <c r="D45" s="38" t="n">
        <f aca="false">IF(OR(NbEnfDefunt=0,INDEX(HerPresent,3)=0),0,MasseDevolution*CoefFiscal*0.75/NbEnfDefunt)</f>
        <v>229550</v>
      </c>
      <c r="E45" s="38" t="n">
        <f aca="false">SUMPRODUCT((BarCat="Ligne directe")*(MAX(0,D45-C45)&gt;BarSeuil)*(MAX(0,D45-C45)-BarSeuil)*(BarTaux-BarPrev))</f>
        <v>30104.35</v>
      </c>
      <c r="F45" s="38" t="n">
        <f aca="false">IF(OR(NbEnfDefunt=0,INDEX(HerPresent,3)=0),0,MasseDevolution*CoefFiscal*(1-TauxUsufruit)/NbEnfDefunt)</f>
        <v>153033.333333333</v>
      </c>
      <c r="G45" s="38" t="n">
        <f aca="false">SUMPRODUCT((BarCat="Ligne directe")*(MAX(0,F45-C45)&gt;BarSeuil)*(MAX(0,F45-C45)-BarSeuil)*(BarTaux-BarPrev))</f>
        <v>14801.0166666667</v>
      </c>
      <c r="H45" s="38" t="n">
        <f aca="false">IF(OR(NbEnfDefunt=0,INDEX(HerPresent,3)=0),0,MasseDevolution*CoefFiscal*0.75*(1-TauxUsufruit)/NbEnfDefunt)</f>
        <v>114775</v>
      </c>
      <c r="I45" s="38" t="n">
        <f aca="false">SUMPRODUCT((BarCat="Ligne directe")*(MAX(0,H45-C45)&gt;BarSeuil)*(MAX(0,H45-C45)-BarSeuil)*(BarTaux-BarPrev))</f>
        <v>7149.35</v>
      </c>
    </row>
    <row r="46" customFormat="false" ht="15" hidden="false" customHeight="false" outlineLevel="0" collapsed="false">
      <c r="B46" s="50" t="str">
        <f aca="false">IF(INDEX(HerNom,4)="","",INDEX(HerNom,4))</f>
        <v>Emma</v>
      </c>
      <c r="C46" s="55" t="n">
        <f aca="false">K14</f>
        <v>100000</v>
      </c>
      <c r="D46" s="38" t="n">
        <f aca="false">IF(OR(NbEnfDefunt=0,INDEX(HerPresent,4)=0),0,MasseDevolution*CoefFiscal*0.75/NbEnfDefunt)</f>
        <v>229550</v>
      </c>
      <c r="E46" s="38" t="n">
        <f aca="false">SUMPRODUCT((BarCat="Ligne directe")*(MAX(0,D46-C46)&gt;BarSeuil)*(MAX(0,D46-C46)-BarSeuil)*(BarTaux-BarPrev))</f>
        <v>24104.35</v>
      </c>
      <c r="F46" s="38" t="n">
        <f aca="false">IF(OR(NbEnfDefunt=0,INDEX(HerPresent,4)=0),0,MasseDevolution*CoefFiscal*(1-TauxUsufruit)/NbEnfDefunt)</f>
        <v>153033.333333333</v>
      </c>
      <c r="G46" s="38" t="n">
        <f aca="false">SUMPRODUCT((BarCat="Ligne directe")*(MAX(0,F46-C46)&gt;BarSeuil)*(MAX(0,F46-C46)-BarSeuil)*(BarTaux-BarPrev))</f>
        <v>8801.01666666667</v>
      </c>
      <c r="H46" s="38" t="n">
        <f aca="false">IF(OR(NbEnfDefunt=0,INDEX(HerPresent,4)=0),0,MasseDevolution*CoefFiscal*0.75*(1-TauxUsufruit)/NbEnfDefunt)</f>
        <v>114775</v>
      </c>
      <c r="I46" s="38" t="n">
        <f aca="false">SUMPRODUCT((BarCat="Ligne directe")*(MAX(0,H46-C46)&gt;BarSeuil)*(MAX(0,H46-C46)-BarSeuil)*(BarTaux-BarPrev))</f>
        <v>1207.2</v>
      </c>
    </row>
    <row r="47" customFormat="false" ht="15" hidden="false" customHeight="false" outlineLevel="0" collapsed="false">
      <c r="B47" s="50" t="str">
        <f aca="false">IF(INDEX(HerNom,5)="","",INDEX(HerNom,5))</f>
        <v/>
      </c>
      <c r="C47" s="55" t="n">
        <f aca="false">K15</f>
        <v>0</v>
      </c>
      <c r="D47" s="38" t="n">
        <f aca="false">IF(OR(NbEnfDefunt=0,INDEX(HerPresent,5)=0),0,MasseDevolution*CoefFiscal*0.75/NbEnfDefunt)</f>
        <v>0</v>
      </c>
      <c r="E47" s="38" t="n">
        <f aca="false">SUMPRODUCT((BarCat="Ligne directe")*(MAX(0,D47-C47)&gt;BarSeuil)*(MAX(0,D47-C47)-BarSeuil)*(BarTaux-BarPrev))</f>
        <v>0</v>
      </c>
      <c r="F47" s="38" t="n">
        <f aca="false">IF(OR(NbEnfDefunt=0,INDEX(HerPresent,5)=0),0,MasseDevolution*CoefFiscal*(1-TauxUsufruit)/NbEnfDefunt)</f>
        <v>0</v>
      </c>
      <c r="G47" s="38" t="n">
        <f aca="false">SUMPRODUCT((BarCat="Ligne directe")*(MAX(0,F47-C47)&gt;BarSeuil)*(MAX(0,F47-C47)-BarSeuil)*(BarTaux-BarPrev))</f>
        <v>0</v>
      </c>
      <c r="H47" s="38" t="n">
        <f aca="false">IF(OR(NbEnfDefunt=0,INDEX(HerPresent,5)=0),0,MasseDevolution*CoefFiscal*0.75*(1-TauxUsufruit)/NbEnfDefunt)</f>
        <v>0</v>
      </c>
      <c r="I47" s="38" t="n">
        <f aca="false">SUMPRODUCT((BarCat="Ligne directe")*(MAX(0,H47-C47)&gt;BarSeuil)*(MAX(0,H47-C47)-BarSeuil)*(BarTaux-BarPrev))</f>
        <v>0</v>
      </c>
    </row>
    <row r="48" customFormat="false" ht="15" hidden="false" customHeight="false" outlineLevel="0" collapsed="false">
      <c r="B48" s="50" t="str">
        <f aca="false">IF(INDEX(HerNom,6)="","",INDEX(HerNom,6))</f>
        <v/>
      </c>
      <c r="C48" s="55" t="n">
        <f aca="false">K16</f>
        <v>0</v>
      </c>
      <c r="D48" s="38" t="n">
        <f aca="false">IF(OR(NbEnfDefunt=0,INDEX(HerPresent,6)=0),0,MasseDevolution*CoefFiscal*0.75/NbEnfDefunt)</f>
        <v>0</v>
      </c>
      <c r="E48" s="38" t="n">
        <f aca="false">SUMPRODUCT((BarCat="Ligne directe")*(MAX(0,D48-C48)&gt;BarSeuil)*(MAX(0,D48-C48)-BarSeuil)*(BarTaux-BarPrev))</f>
        <v>0</v>
      </c>
      <c r="F48" s="38" t="n">
        <f aca="false">IF(OR(NbEnfDefunt=0,INDEX(HerPresent,6)=0),0,MasseDevolution*CoefFiscal*(1-TauxUsufruit)/NbEnfDefunt)</f>
        <v>0</v>
      </c>
      <c r="G48" s="38" t="n">
        <f aca="false">SUMPRODUCT((BarCat="Ligne directe")*(MAX(0,F48-C48)&gt;BarSeuil)*(MAX(0,F48-C48)-BarSeuil)*(BarTaux-BarPrev))</f>
        <v>0</v>
      </c>
      <c r="H48" s="38" t="n">
        <f aca="false">IF(OR(NbEnfDefunt=0,INDEX(HerPresent,6)=0),0,MasseDevolution*CoefFiscal*0.75*(1-TauxUsufruit)/NbEnfDefunt)</f>
        <v>0</v>
      </c>
      <c r="I48" s="38" t="n">
        <f aca="false">SUMPRODUCT((BarCat="Ligne directe")*(MAX(0,H48-C48)&gt;BarSeuil)*(MAX(0,H48-C48)-BarSeuil)*(BarTaux-BarPrev))</f>
        <v>0</v>
      </c>
    </row>
    <row r="49" customFormat="false" ht="15" hidden="false" customHeight="false" outlineLevel="0" collapsed="false">
      <c r="B49" s="50" t="str">
        <f aca="false">IF(INDEX(HerNom,7)="","",INDEX(HerNom,7))</f>
        <v/>
      </c>
      <c r="C49" s="55" t="n">
        <f aca="false">K17</f>
        <v>0</v>
      </c>
      <c r="D49" s="38" t="n">
        <f aca="false">IF(OR(NbEnfDefunt=0,INDEX(HerPresent,7)=0),0,MasseDevolution*CoefFiscal*0.75/NbEnfDefunt)</f>
        <v>0</v>
      </c>
      <c r="E49" s="38" t="n">
        <f aca="false">SUMPRODUCT((BarCat="Ligne directe")*(MAX(0,D49-C49)&gt;BarSeuil)*(MAX(0,D49-C49)-BarSeuil)*(BarTaux-BarPrev))</f>
        <v>0</v>
      </c>
      <c r="F49" s="38" t="n">
        <f aca="false">IF(OR(NbEnfDefunt=0,INDEX(HerPresent,7)=0),0,MasseDevolution*CoefFiscal*(1-TauxUsufruit)/NbEnfDefunt)</f>
        <v>0</v>
      </c>
      <c r="G49" s="38" t="n">
        <f aca="false">SUMPRODUCT((BarCat="Ligne directe")*(MAX(0,F49-C49)&gt;BarSeuil)*(MAX(0,F49-C49)-BarSeuil)*(BarTaux-BarPrev))</f>
        <v>0</v>
      </c>
      <c r="H49" s="38" t="n">
        <f aca="false">IF(OR(NbEnfDefunt=0,INDEX(HerPresent,7)=0),0,MasseDevolution*CoefFiscal*0.75*(1-TauxUsufruit)/NbEnfDefunt)</f>
        <v>0</v>
      </c>
      <c r="I49" s="38" t="n">
        <f aca="false">SUMPRODUCT((BarCat="Ligne directe")*(MAX(0,H49-C49)&gt;BarSeuil)*(MAX(0,H49-C49)-BarSeuil)*(BarTaux-BarPrev))</f>
        <v>0</v>
      </c>
    </row>
    <row r="50" customFormat="false" ht="15" hidden="false" customHeight="false" outlineLevel="0" collapsed="false">
      <c r="B50" s="50" t="str">
        <f aca="false">IF(INDEX(HerNom,8)="","",INDEX(HerNom,8))</f>
        <v/>
      </c>
      <c r="C50" s="55" t="n">
        <f aca="false">K18</f>
        <v>0</v>
      </c>
      <c r="D50" s="38" t="n">
        <f aca="false">IF(OR(NbEnfDefunt=0,INDEX(HerPresent,8)=0),0,MasseDevolution*CoefFiscal*0.75/NbEnfDefunt)</f>
        <v>0</v>
      </c>
      <c r="E50" s="38" t="n">
        <f aca="false">SUMPRODUCT((BarCat="Ligne directe")*(MAX(0,D50-C50)&gt;BarSeuil)*(MAX(0,D50-C50)-BarSeuil)*(BarTaux-BarPrev))</f>
        <v>0</v>
      </c>
      <c r="F50" s="38" t="n">
        <f aca="false">IF(OR(NbEnfDefunt=0,INDEX(HerPresent,8)=0),0,MasseDevolution*CoefFiscal*(1-TauxUsufruit)/NbEnfDefunt)</f>
        <v>0</v>
      </c>
      <c r="G50" s="38" t="n">
        <f aca="false">SUMPRODUCT((BarCat="Ligne directe")*(MAX(0,F50-C50)&gt;BarSeuil)*(MAX(0,F50-C50)-BarSeuil)*(BarTaux-BarPrev))</f>
        <v>0</v>
      </c>
      <c r="H50" s="38" t="n">
        <f aca="false">IF(OR(NbEnfDefunt=0,INDEX(HerPresent,8)=0),0,MasseDevolution*CoefFiscal*0.75*(1-TauxUsufruit)/NbEnfDefunt)</f>
        <v>0</v>
      </c>
      <c r="I50" s="38" t="n">
        <f aca="false">SUMPRODUCT((BarCat="Ligne directe")*(MAX(0,H50-C50)&gt;BarSeuil)*(MAX(0,H50-C50)-BarSeuil)*(BarTaux-BarPrev))</f>
        <v>0</v>
      </c>
    </row>
    <row r="51" customFormat="false" ht="15" hidden="false" customHeight="false" outlineLevel="0" collapsed="false">
      <c r="B51" s="50" t="str">
        <f aca="false">IF(INDEX(HerNom,9)="","",INDEX(HerNom,9))</f>
        <v/>
      </c>
      <c r="C51" s="55" t="n">
        <f aca="false">K19</f>
        <v>0</v>
      </c>
      <c r="D51" s="38" t="n">
        <f aca="false">IF(OR(NbEnfDefunt=0,INDEX(HerPresent,9)=0),0,MasseDevolution*CoefFiscal*0.75/NbEnfDefunt)</f>
        <v>0</v>
      </c>
      <c r="E51" s="38" t="n">
        <f aca="false">SUMPRODUCT((BarCat="Ligne directe")*(MAX(0,D51-C51)&gt;BarSeuil)*(MAX(0,D51-C51)-BarSeuil)*(BarTaux-BarPrev))</f>
        <v>0</v>
      </c>
      <c r="F51" s="38" t="n">
        <f aca="false">IF(OR(NbEnfDefunt=0,INDEX(HerPresent,9)=0),0,MasseDevolution*CoefFiscal*(1-TauxUsufruit)/NbEnfDefunt)</f>
        <v>0</v>
      </c>
      <c r="G51" s="38" t="n">
        <f aca="false">SUMPRODUCT((BarCat="Ligne directe")*(MAX(0,F51-C51)&gt;BarSeuil)*(MAX(0,F51-C51)-BarSeuil)*(BarTaux-BarPrev))</f>
        <v>0</v>
      </c>
      <c r="H51" s="38" t="n">
        <f aca="false">IF(OR(NbEnfDefunt=0,INDEX(HerPresent,9)=0),0,MasseDevolution*CoefFiscal*0.75*(1-TauxUsufruit)/NbEnfDefunt)</f>
        <v>0</v>
      </c>
      <c r="I51" s="38" t="n">
        <f aca="false">SUMPRODUCT((BarCat="Ligne directe")*(MAX(0,H51-C51)&gt;BarSeuil)*(MAX(0,H51-C51)-BarSeuil)*(BarTaux-BarPrev))</f>
        <v>0</v>
      </c>
    </row>
    <row r="52" customFormat="false" ht="15" hidden="false" customHeight="false" outlineLevel="0" collapsed="false">
      <c r="B52" s="17" t="s">
        <v>352</v>
      </c>
      <c r="E52" s="41" t="n">
        <f aca="false">SUM(E44:E51)</f>
        <v>90313.05</v>
      </c>
      <c r="G52" s="41" t="n">
        <f aca="false">SUM(G44:G51)</f>
        <v>44403.05</v>
      </c>
      <c r="I52" s="41" t="n">
        <f aca="false">SUM(I44:I51)</f>
        <v>21505.9</v>
      </c>
    </row>
    <row r="53" customFormat="false" ht="15" hidden="false" customHeight="false" outlineLevel="0" collapsed="false">
      <c r="B53" s="23" t="s">
        <v>353</v>
      </c>
      <c r="G53" s="52" t="n">
        <f aca="false">CmpOptionA-CmpOptionB</f>
        <v>45910</v>
      </c>
      <c r="I53" s="52" t="n">
        <f aca="false">CmpOptionA-CmpOptionC</f>
        <v>68807.15</v>
      </c>
    </row>
    <row r="54" customFormat="false" ht="15" hidden="false" customHeight="false" outlineLevel="0" collapsed="false">
      <c r="B54" s="23" t="s">
        <v>354</v>
      </c>
      <c r="E54" s="47" t="n">
        <f aca="false">MasseDevolution*0.25</f>
        <v>238500</v>
      </c>
      <c r="G54" s="47" t="n">
        <f aca="false">MasseDevolution*TauxUsufruit</f>
        <v>477000</v>
      </c>
      <c r="I54" s="47" t="n">
        <f aca="false">MasseDevolution*(0.25+0.75*TauxUsufruit)</f>
        <v>596250</v>
      </c>
    </row>
    <row r="56" customFormat="false" ht="30" hidden="false" customHeight="true" outlineLevel="0" collapsed="false">
      <c r="B56" s="57" t="s">
        <v>355</v>
      </c>
    </row>
    <row r="57" customFormat="false" ht="15" hidden="false" customHeight="false" outlineLevel="0" collapsed="false">
      <c r="B57" s="21" t="s">
        <v>356</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N5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24"/>
    <col collapsed="false" customWidth="true" hidden="false" outlineLevel="0" max="6" min="4" style="0" width="18"/>
    <col collapsed="false" customWidth="true" hidden="false" outlineLevel="0" max="8" min="7" style="0" width="19"/>
    <col collapsed="false" customWidth="true" hidden="false" outlineLevel="0" max="9" min="9" style="0" width="18"/>
    <col collapsed="false" customWidth="true" hidden="false" outlineLevel="0" max="11" min="10" style="0" width="19"/>
    <col collapsed="false" customWidth="true" hidden="false" outlineLevel="0" max="14" min="12" style="0" width="18"/>
    <col collapsed="false" customWidth="true" hidden="false" outlineLevel="0" max="15" min="15" style="0" width="4"/>
    <col collapsed="false" customWidth="true" hidden="false" outlineLevel="0" max="16" min="16" style="0" width="55"/>
  </cols>
  <sheetData>
    <row r="1" customFormat="false" ht="30" hidden="false" customHeight="true" outlineLevel="0" collapsed="false">
      <c r="A1" s="1" t="s">
        <v>357</v>
      </c>
      <c r="B1" s="2"/>
      <c r="C1" s="2"/>
      <c r="D1" s="2"/>
      <c r="E1" s="2"/>
      <c r="F1" s="2"/>
      <c r="G1" s="2"/>
      <c r="H1" s="2"/>
      <c r="I1" s="2"/>
      <c r="J1" s="2"/>
      <c r="K1" s="2"/>
      <c r="L1" s="2"/>
      <c r="M1" s="2"/>
      <c r="N1" s="2"/>
    </row>
    <row r="2" customFormat="false" ht="13.5" hidden="false" customHeight="true" outlineLevel="0" collapsed="false">
      <c r="A2" s="3" t="s">
        <v>358</v>
      </c>
    </row>
    <row r="4" customFormat="false" ht="19.5" hidden="false" customHeight="true" outlineLevel="0" collapsed="false">
      <c r="A4" s="4" t="s">
        <v>359</v>
      </c>
      <c r="B4" s="5"/>
      <c r="C4" s="5"/>
      <c r="D4" s="5"/>
      <c r="E4" s="5"/>
      <c r="F4" s="5"/>
      <c r="G4" s="5"/>
      <c r="H4" s="5"/>
      <c r="I4" s="5"/>
      <c r="J4" s="5"/>
      <c r="K4" s="5"/>
      <c r="L4" s="5"/>
      <c r="M4" s="5"/>
      <c r="N4" s="5"/>
    </row>
    <row r="5" customFormat="false" ht="27.75" hidden="false" customHeight="true" outlineLevel="0" collapsed="false">
      <c r="B5" s="14" t="s">
        <v>360</v>
      </c>
      <c r="C5" s="14" t="s">
        <v>361</v>
      </c>
      <c r="D5" s="14" t="s">
        <v>362</v>
      </c>
      <c r="E5" s="14" t="s">
        <v>363</v>
      </c>
      <c r="F5" s="14" t="s">
        <v>364</v>
      </c>
      <c r="G5" s="14" t="s">
        <v>365</v>
      </c>
      <c r="H5" s="14" t="s">
        <v>366</v>
      </c>
      <c r="I5" s="14" t="s">
        <v>367</v>
      </c>
      <c r="J5" s="14" t="s">
        <v>368</v>
      </c>
      <c r="K5" s="14" t="s">
        <v>369</v>
      </c>
      <c r="L5" s="14" t="s">
        <v>370</v>
      </c>
      <c r="M5" s="14" t="s">
        <v>371</v>
      </c>
      <c r="N5" s="14" t="s">
        <v>372</v>
      </c>
    </row>
    <row r="6" customFormat="false" ht="15" hidden="false" customHeight="false" outlineLevel="0" collapsed="false">
      <c r="B6" s="22" t="s">
        <v>373</v>
      </c>
      <c r="C6" s="22" t="s">
        <v>374</v>
      </c>
      <c r="D6" s="8" t="s">
        <v>184</v>
      </c>
      <c r="E6" s="36" t="n">
        <v>520000</v>
      </c>
      <c r="F6" s="36" t="n">
        <v>520000</v>
      </c>
      <c r="G6" s="36" t="n">
        <v>330000</v>
      </c>
      <c r="H6" s="36" t="n">
        <v>0</v>
      </c>
      <c r="I6" s="38" t="n">
        <f aca="false">G6+H6</f>
        <v>330000</v>
      </c>
      <c r="J6" s="38" t="n">
        <f aca="false">IF(I6=0,0,F6*G6/I6)</f>
        <v>520000</v>
      </c>
      <c r="K6" s="38" t="n">
        <f aca="false">F6-J6</f>
        <v>0</v>
      </c>
      <c r="L6" s="26" t="n">
        <f aca="false">IF(AND(D6&lt;&gt;"",D6=Defunt),1,0)</f>
        <v>1</v>
      </c>
      <c r="M6" s="39" t="n">
        <f aca="false">SUMIF(ClauseContrat,1,ClausePct)</f>
        <v>1</v>
      </c>
      <c r="N6" s="10" t="str">
        <f aca="false">IF(F6=0,"",IF(ABS(M6-1)&gt;0.001,"⚠️ répartition ≠ 100 %","✅ 100 %"))</f>
        <v>✅ 100 %</v>
      </c>
    </row>
    <row r="7" customFormat="false" ht="15" hidden="false" customHeight="false" outlineLevel="0" collapsed="false">
      <c r="B7" s="22" t="s">
        <v>375</v>
      </c>
      <c r="C7" s="22" t="s">
        <v>376</v>
      </c>
      <c r="D7" s="8" t="s">
        <v>377</v>
      </c>
      <c r="E7" s="36" t="n">
        <v>95000</v>
      </c>
      <c r="F7" s="36" t="n">
        <v>95000</v>
      </c>
      <c r="G7" s="36" t="n">
        <v>70000</v>
      </c>
      <c r="H7" s="36" t="n">
        <v>0</v>
      </c>
      <c r="I7" s="38" t="n">
        <f aca="false">G7+H7</f>
        <v>70000</v>
      </c>
      <c r="J7" s="38" t="n">
        <f aca="false">IF(I7=0,0,F7*G7/I7)</f>
        <v>95000</v>
      </c>
      <c r="K7" s="38" t="n">
        <f aca="false">F7-J7</f>
        <v>0</v>
      </c>
      <c r="L7" s="26" t="n">
        <f aca="false">IF(AND(D7&lt;&gt;"",D7=Defunt),1,0)</f>
        <v>0</v>
      </c>
      <c r="M7" s="39" t="n">
        <f aca="false">SUMIF(ClauseContrat,2,ClausePct)</f>
        <v>1</v>
      </c>
      <c r="N7" s="10" t="str">
        <f aca="false">IF(F7=0,"",IF(ABS(M7-1)&gt;0.001,"⚠️ répartition ≠ 100 %","✅ 100 %"))</f>
        <v>✅ 100 %</v>
      </c>
    </row>
    <row r="8" customFormat="false" ht="15" hidden="false" customHeight="false" outlineLevel="0" collapsed="false">
      <c r="B8" s="22"/>
      <c r="C8" s="22"/>
      <c r="D8" s="8"/>
      <c r="E8" s="36"/>
      <c r="F8" s="36"/>
      <c r="G8" s="36"/>
      <c r="H8" s="36"/>
      <c r="I8" s="38" t="n">
        <f aca="false">G8+H8</f>
        <v>0</v>
      </c>
      <c r="J8" s="38" t="n">
        <f aca="false">IF(I8=0,0,F8*G8/I8)</f>
        <v>0</v>
      </c>
      <c r="K8" s="38" t="n">
        <f aca="false">F8-J8</f>
        <v>0</v>
      </c>
      <c r="L8" s="26" t="n">
        <f aca="false">IF(AND(D8&lt;&gt;"",D8=Defunt),1,0)</f>
        <v>0</v>
      </c>
      <c r="M8" s="39" t="n">
        <f aca="false">SUMIF(ClauseContrat,3,ClausePct)</f>
        <v>0</v>
      </c>
      <c r="N8" s="10" t="str">
        <f aca="false">IF(F8=0,"",IF(ABS(M8-1)&gt;0.001,"⚠️ répartition ≠ 100 %","✅ 100 %"))</f>
        <v/>
      </c>
    </row>
    <row r="9" customFormat="false" ht="15" hidden="false" customHeight="false" outlineLevel="0" collapsed="false">
      <c r="B9" s="22"/>
      <c r="C9" s="22"/>
      <c r="D9" s="8"/>
      <c r="E9" s="36"/>
      <c r="F9" s="36"/>
      <c r="G9" s="36"/>
      <c r="H9" s="36"/>
      <c r="I9" s="38" t="n">
        <f aca="false">G9+H9</f>
        <v>0</v>
      </c>
      <c r="J9" s="38" t="n">
        <f aca="false">IF(I9=0,0,F9*G9/I9)</f>
        <v>0</v>
      </c>
      <c r="K9" s="38" t="n">
        <f aca="false">F9-J9</f>
        <v>0</v>
      </c>
      <c r="L9" s="26" t="n">
        <f aca="false">IF(AND(D9&lt;&gt;"",D9=Defunt),1,0)</f>
        <v>0</v>
      </c>
      <c r="M9" s="39" t="n">
        <f aca="false">SUMIF(ClauseContrat,4,ClausePct)</f>
        <v>0</v>
      </c>
      <c r="N9" s="10" t="str">
        <f aca="false">IF(F9=0,"",IF(ABS(M9-1)&gt;0.001,"⚠️ répartition ≠ 100 %","✅ 100 %"))</f>
        <v/>
      </c>
    </row>
    <row r="10" customFormat="false" ht="15" hidden="false" customHeight="false" outlineLevel="0" collapsed="false">
      <c r="B10" s="22"/>
      <c r="C10" s="22"/>
      <c r="D10" s="8"/>
      <c r="E10" s="36"/>
      <c r="F10" s="36"/>
      <c r="G10" s="36"/>
      <c r="H10" s="36"/>
      <c r="I10" s="38" t="n">
        <f aca="false">G10+H10</f>
        <v>0</v>
      </c>
      <c r="J10" s="38" t="n">
        <f aca="false">IF(I10=0,0,F10*G10/I10)</f>
        <v>0</v>
      </c>
      <c r="K10" s="38" t="n">
        <f aca="false">F10-J10</f>
        <v>0</v>
      </c>
      <c r="L10" s="26" t="n">
        <f aca="false">IF(AND(D10&lt;&gt;"",D10=Defunt),1,0)</f>
        <v>0</v>
      </c>
      <c r="M10" s="39" t="n">
        <f aca="false">SUMIF(ClauseContrat,5,ClausePct)</f>
        <v>0</v>
      </c>
      <c r="N10" s="10" t="str">
        <f aca="false">IF(F10=0,"",IF(ABS(M10-1)&gt;0.001,"⚠️ répartition ≠ 100 %","✅ 100 %"))</f>
        <v/>
      </c>
    </row>
    <row r="11" customFormat="false" ht="15" hidden="false" customHeight="false" outlineLevel="0" collapsed="false">
      <c r="B11" s="22"/>
      <c r="C11" s="22"/>
      <c r="D11" s="8"/>
      <c r="E11" s="36"/>
      <c r="F11" s="36"/>
      <c r="G11" s="36"/>
      <c r="H11" s="36"/>
      <c r="I11" s="38" t="n">
        <f aca="false">G11+H11</f>
        <v>0</v>
      </c>
      <c r="J11" s="38" t="n">
        <f aca="false">IF(I11=0,0,F11*G11/I11)</f>
        <v>0</v>
      </c>
      <c r="K11" s="38" t="n">
        <f aca="false">F11-J11</f>
        <v>0</v>
      </c>
      <c r="L11" s="26" t="n">
        <f aca="false">IF(AND(D11&lt;&gt;"",D11=Defunt),1,0)</f>
        <v>0</v>
      </c>
      <c r="M11" s="39" t="n">
        <f aca="false">SUMIF(ClauseContrat,6,ClausePct)</f>
        <v>0</v>
      </c>
      <c r="N11" s="10" t="str">
        <f aca="false">IF(F11=0,"",IF(ABS(M11-1)&gt;0.001,"⚠️ répartition ≠ 100 %","✅ 100 %"))</f>
        <v/>
      </c>
    </row>
    <row r="12" customFormat="false" ht="15" hidden="false" customHeight="false" outlineLevel="0" collapsed="false">
      <c r="B12" s="17" t="s">
        <v>337</v>
      </c>
      <c r="E12" s="40" t="n">
        <f aca="false">SUM(E6:E11)</f>
        <v>615000</v>
      </c>
      <c r="F12" s="40" t="n">
        <f aca="false">SUM(F6:F11)</f>
        <v>615000</v>
      </c>
      <c r="H12" s="40" t="n">
        <f aca="false">SUMPRODUCT(H6:H11,L6:L11)</f>
        <v>0</v>
      </c>
    </row>
    <row r="13" customFormat="false" ht="15" hidden="false" customHeight="false" outlineLevel="0" collapsed="false">
      <c r="B13" s="21" t="s">
        <v>378</v>
      </c>
    </row>
    <row r="15" customFormat="false" ht="19.5" hidden="false" customHeight="true" outlineLevel="0" collapsed="false">
      <c r="A15" s="4" t="s">
        <v>379</v>
      </c>
      <c r="B15" s="5"/>
      <c r="C15" s="5"/>
      <c r="D15" s="5"/>
      <c r="E15" s="5"/>
      <c r="F15" s="5"/>
      <c r="G15" s="5"/>
      <c r="H15" s="5"/>
      <c r="I15" s="5"/>
      <c r="J15" s="5"/>
      <c r="K15" s="5"/>
      <c r="L15" s="5"/>
      <c r="M15" s="5"/>
      <c r="N15" s="5"/>
    </row>
    <row r="16" customFormat="false" ht="27.75" hidden="false" customHeight="true" outlineLevel="0" collapsed="false">
      <c r="B16" s="14" t="s">
        <v>380</v>
      </c>
      <c r="C16" s="14" t="s">
        <v>381</v>
      </c>
      <c r="D16" s="14" t="s">
        <v>382</v>
      </c>
      <c r="E16" s="14" t="s">
        <v>383</v>
      </c>
      <c r="F16" s="14" t="s">
        <v>384</v>
      </c>
      <c r="G16" s="14" t="s">
        <v>385</v>
      </c>
      <c r="H16" s="14" t="s">
        <v>386</v>
      </c>
    </row>
    <row r="17" customFormat="false" ht="15" hidden="false" customHeight="false" outlineLevel="0" collapsed="false">
      <c r="B17" s="28" t="n">
        <v>1</v>
      </c>
      <c r="C17" s="22" t="s">
        <v>141</v>
      </c>
      <c r="D17" s="8" t="s">
        <v>254</v>
      </c>
      <c r="E17" s="58" t="n">
        <v>0.333333333333333</v>
      </c>
      <c r="F17" s="38" t="n">
        <f aca="false">IFERROR(INDEX(CtrCapitalDeces,B17)*E17*INDEX(CtrDenoue,B17),0)</f>
        <v>173333.333333333</v>
      </c>
      <c r="G17" s="38" t="n">
        <f aca="false">IFERROR(INDEX(CtrCap70Moins,B17)*E17*INDEX(CtrDenoue,B17),0)</f>
        <v>173333.333333333</v>
      </c>
      <c r="H17" s="38" t="n">
        <f aca="false">IFERROR(INDEX(CtrPrimes70Plus,B17)*E17*INDEX(CtrDenoue,B17),0)</f>
        <v>0</v>
      </c>
    </row>
    <row r="18" customFormat="false" ht="15" hidden="false" customHeight="false" outlineLevel="0" collapsed="false">
      <c r="B18" s="28" t="n">
        <v>1</v>
      </c>
      <c r="C18" s="22" t="s">
        <v>144</v>
      </c>
      <c r="D18" s="8" t="s">
        <v>254</v>
      </c>
      <c r="E18" s="58" t="n">
        <v>0.333333333333333</v>
      </c>
      <c r="F18" s="38" t="n">
        <f aca="false">IFERROR(INDEX(CtrCapitalDeces,B18)*E18*INDEX(CtrDenoue,B18),0)</f>
        <v>173333.333333333</v>
      </c>
      <c r="G18" s="38" t="n">
        <f aca="false">IFERROR(INDEX(CtrCap70Moins,B18)*E18*INDEX(CtrDenoue,B18),0)</f>
        <v>173333.333333333</v>
      </c>
      <c r="H18" s="38" t="n">
        <f aca="false">IFERROR(INDEX(CtrPrimes70Plus,B18)*E18*INDEX(CtrDenoue,B18),0)</f>
        <v>0</v>
      </c>
    </row>
    <row r="19" customFormat="false" ht="15" hidden="false" customHeight="false" outlineLevel="0" collapsed="false">
      <c r="B19" s="28" t="n">
        <v>1</v>
      </c>
      <c r="C19" s="22" t="s">
        <v>146</v>
      </c>
      <c r="D19" s="8" t="s">
        <v>254</v>
      </c>
      <c r="E19" s="58" t="n">
        <v>0.333333333333333</v>
      </c>
      <c r="F19" s="38" t="n">
        <f aca="false">IFERROR(INDEX(CtrCapitalDeces,B19)*E19*INDEX(CtrDenoue,B19),0)</f>
        <v>173333.333333333</v>
      </c>
      <c r="G19" s="38" t="n">
        <f aca="false">IFERROR(INDEX(CtrCap70Moins,B19)*E19*INDEX(CtrDenoue,B19),0)</f>
        <v>173333.333333333</v>
      </c>
      <c r="H19" s="38" t="n">
        <f aca="false">IFERROR(INDEX(CtrPrimes70Plus,B19)*E19*INDEX(CtrDenoue,B19),0)</f>
        <v>0</v>
      </c>
    </row>
    <row r="20" customFormat="false" ht="15" hidden="false" customHeight="false" outlineLevel="0" collapsed="false">
      <c r="B20" s="28" t="n">
        <v>2</v>
      </c>
      <c r="C20" s="22" t="s">
        <v>116</v>
      </c>
      <c r="D20" s="8" t="s">
        <v>187</v>
      </c>
      <c r="E20" s="58" t="n">
        <v>1</v>
      </c>
      <c r="F20" s="38" t="n">
        <f aca="false">IFERROR(INDEX(CtrCapitalDeces,B20)*E20*INDEX(CtrDenoue,B20),0)</f>
        <v>0</v>
      </c>
      <c r="G20" s="38" t="n">
        <f aca="false">IFERROR(INDEX(CtrCap70Moins,B20)*E20*INDEX(CtrDenoue,B20),0)</f>
        <v>0</v>
      </c>
      <c r="H20" s="38" t="n">
        <f aca="false">IFERROR(INDEX(CtrPrimes70Plus,B20)*E20*INDEX(CtrDenoue,B20),0)</f>
        <v>0</v>
      </c>
    </row>
    <row r="21" customFormat="false" ht="15" hidden="false" customHeight="false" outlineLevel="0" collapsed="false">
      <c r="B21" s="28"/>
      <c r="C21" s="22"/>
      <c r="D21" s="8"/>
      <c r="E21" s="58"/>
      <c r="F21" s="38" t="n">
        <f aca="false">IFERROR(INDEX(CtrCapitalDeces,B21)*E21*INDEX(CtrDenoue,B21),0)</f>
        <v>0</v>
      </c>
      <c r="G21" s="38" t="n">
        <f aca="false">IFERROR(INDEX(CtrCap70Moins,B21)*E21*INDEX(CtrDenoue,B21),0)</f>
        <v>0</v>
      </c>
      <c r="H21" s="38" t="n">
        <f aca="false">IFERROR(INDEX(CtrPrimes70Plus,B21)*E21*INDEX(CtrDenoue,B21),0)</f>
        <v>0</v>
      </c>
    </row>
    <row r="22" customFormat="false" ht="15" hidden="false" customHeight="false" outlineLevel="0" collapsed="false">
      <c r="B22" s="28"/>
      <c r="C22" s="22"/>
      <c r="D22" s="8"/>
      <c r="E22" s="58"/>
      <c r="F22" s="38" t="n">
        <f aca="false">IFERROR(INDEX(CtrCapitalDeces,B22)*E22*INDEX(CtrDenoue,B22),0)</f>
        <v>0</v>
      </c>
      <c r="G22" s="38" t="n">
        <f aca="false">IFERROR(INDEX(CtrCap70Moins,B22)*E22*INDEX(CtrDenoue,B22),0)</f>
        <v>0</v>
      </c>
      <c r="H22" s="38" t="n">
        <f aca="false">IFERROR(INDEX(CtrPrimes70Plus,B22)*E22*INDEX(CtrDenoue,B22),0)</f>
        <v>0</v>
      </c>
    </row>
    <row r="23" customFormat="false" ht="15" hidden="false" customHeight="false" outlineLevel="0" collapsed="false">
      <c r="B23" s="28"/>
      <c r="C23" s="22"/>
      <c r="D23" s="8"/>
      <c r="E23" s="58"/>
      <c r="F23" s="38" t="n">
        <f aca="false">IFERROR(INDEX(CtrCapitalDeces,B23)*E23*INDEX(CtrDenoue,B23),0)</f>
        <v>0</v>
      </c>
      <c r="G23" s="38" t="n">
        <f aca="false">IFERROR(INDEX(CtrCap70Moins,B23)*E23*INDEX(CtrDenoue,B23),0)</f>
        <v>0</v>
      </c>
      <c r="H23" s="38" t="n">
        <f aca="false">IFERROR(INDEX(CtrPrimes70Plus,B23)*E23*INDEX(CtrDenoue,B23),0)</f>
        <v>0</v>
      </c>
    </row>
    <row r="24" customFormat="false" ht="15" hidden="false" customHeight="false" outlineLevel="0" collapsed="false">
      <c r="B24" s="28"/>
      <c r="C24" s="22"/>
      <c r="D24" s="8"/>
      <c r="E24" s="58"/>
      <c r="F24" s="38" t="n">
        <f aca="false">IFERROR(INDEX(CtrCapitalDeces,B24)*E24*INDEX(CtrDenoue,B24),0)</f>
        <v>0</v>
      </c>
      <c r="G24" s="38" t="n">
        <f aca="false">IFERROR(INDEX(CtrCap70Moins,B24)*E24*INDEX(CtrDenoue,B24),0)</f>
        <v>0</v>
      </c>
      <c r="H24" s="38" t="n">
        <f aca="false">IFERROR(INDEX(CtrPrimes70Plus,B24)*E24*INDEX(CtrDenoue,B24),0)</f>
        <v>0</v>
      </c>
    </row>
    <row r="25" customFormat="false" ht="15" hidden="false" customHeight="false" outlineLevel="0" collapsed="false">
      <c r="B25" s="28"/>
      <c r="C25" s="22"/>
      <c r="D25" s="8"/>
      <c r="E25" s="58"/>
      <c r="F25" s="38" t="n">
        <f aca="false">IFERROR(INDEX(CtrCapitalDeces,B25)*E25*INDEX(CtrDenoue,B25),0)</f>
        <v>0</v>
      </c>
      <c r="G25" s="38" t="n">
        <f aca="false">IFERROR(INDEX(CtrCap70Moins,B25)*E25*INDEX(CtrDenoue,B25),0)</f>
        <v>0</v>
      </c>
      <c r="H25" s="38" t="n">
        <f aca="false">IFERROR(INDEX(CtrPrimes70Plus,B25)*E25*INDEX(CtrDenoue,B25),0)</f>
        <v>0</v>
      </c>
    </row>
    <row r="26" customFormat="false" ht="15" hidden="false" customHeight="false" outlineLevel="0" collapsed="false">
      <c r="B26" s="28"/>
      <c r="C26" s="22"/>
      <c r="D26" s="8"/>
      <c r="E26" s="58"/>
      <c r="F26" s="38" t="n">
        <f aca="false">IFERROR(INDEX(CtrCapitalDeces,B26)*E26*INDEX(CtrDenoue,B26),0)</f>
        <v>0</v>
      </c>
      <c r="G26" s="38" t="n">
        <f aca="false">IFERROR(INDEX(CtrCap70Moins,B26)*E26*INDEX(CtrDenoue,B26),0)</f>
        <v>0</v>
      </c>
      <c r="H26" s="38" t="n">
        <f aca="false">IFERROR(INDEX(CtrPrimes70Plus,B26)*E26*INDEX(CtrDenoue,B26),0)</f>
        <v>0</v>
      </c>
    </row>
    <row r="27" customFormat="false" ht="15" hidden="false" customHeight="false" outlineLevel="0" collapsed="false">
      <c r="B27" s="28"/>
      <c r="C27" s="22"/>
      <c r="D27" s="8"/>
      <c r="E27" s="58"/>
      <c r="F27" s="38" t="n">
        <f aca="false">IFERROR(INDEX(CtrCapitalDeces,B27)*E27*INDEX(CtrDenoue,B27),0)</f>
        <v>0</v>
      </c>
      <c r="G27" s="38" t="n">
        <f aca="false">IFERROR(INDEX(CtrCap70Moins,B27)*E27*INDEX(CtrDenoue,B27),0)</f>
        <v>0</v>
      </c>
      <c r="H27" s="38" t="n">
        <f aca="false">IFERROR(INDEX(CtrPrimes70Plus,B27)*E27*INDEX(CtrDenoue,B27),0)</f>
        <v>0</v>
      </c>
    </row>
    <row r="28" customFormat="false" ht="15" hidden="false" customHeight="false" outlineLevel="0" collapsed="false">
      <c r="B28" s="28"/>
      <c r="C28" s="22"/>
      <c r="D28" s="8"/>
      <c r="E28" s="58"/>
      <c r="F28" s="38" t="n">
        <f aca="false">IFERROR(INDEX(CtrCapitalDeces,B28)*E28*INDEX(CtrDenoue,B28),0)</f>
        <v>0</v>
      </c>
      <c r="G28" s="38" t="n">
        <f aca="false">IFERROR(INDEX(CtrCap70Moins,B28)*E28*INDEX(CtrDenoue,B28),0)</f>
        <v>0</v>
      </c>
      <c r="H28" s="38" t="n">
        <f aca="false">IFERROR(INDEX(CtrPrimes70Plus,B28)*E28*INDEX(CtrDenoue,B28),0)</f>
        <v>0</v>
      </c>
    </row>
    <row r="29" customFormat="false" ht="15" hidden="false" customHeight="false" outlineLevel="0" collapsed="false">
      <c r="B29" s="28"/>
      <c r="C29" s="22"/>
      <c r="D29" s="8"/>
      <c r="E29" s="58"/>
      <c r="F29" s="38" t="n">
        <f aca="false">IFERROR(INDEX(CtrCapitalDeces,B29)*E29*INDEX(CtrDenoue,B29),0)</f>
        <v>0</v>
      </c>
      <c r="G29" s="38" t="n">
        <f aca="false">IFERROR(INDEX(CtrCap70Moins,B29)*E29*INDEX(CtrDenoue,B29),0)</f>
        <v>0</v>
      </c>
      <c r="H29" s="38" t="n">
        <f aca="false">IFERROR(INDEX(CtrPrimes70Plus,B29)*E29*INDEX(CtrDenoue,B29),0)</f>
        <v>0</v>
      </c>
    </row>
    <row r="30" customFormat="false" ht="15" hidden="false" customHeight="false" outlineLevel="0" collapsed="false">
      <c r="B30" s="28"/>
      <c r="C30" s="22"/>
      <c r="D30" s="8"/>
      <c r="E30" s="58"/>
      <c r="F30" s="38" t="n">
        <f aca="false">IFERROR(INDEX(CtrCapitalDeces,B30)*E30*INDEX(CtrDenoue,B30),0)</f>
        <v>0</v>
      </c>
      <c r="G30" s="38" t="n">
        <f aca="false">IFERROR(INDEX(CtrCap70Moins,B30)*E30*INDEX(CtrDenoue,B30),0)</f>
        <v>0</v>
      </c>
      <c r="H30" s="38" t="n">
        <f aca="false">IFERROR(INDEX(CtrPrimes70Plus,B30)*E30*INDEX(CtrDenoue,B30),0)</f>
        <v>0</v>
      </c>
    </row>
    <row r="31" customFormat="false" ht="15" hidden="false" customHeight="false" outlineLevel="0" collapsed="false">
      <c r="B31" s="17" t="s">
        <v>387</v>
      </c>
      <c r="F31" s="40" t="n">
        <f aca="false">SUM(F17:F30)</f>
        <v>520000</v>
      </c>
      <c r="G31" s="40" t="n">
        <f aca="false">SUM(G17:G30)</f>
        <v>520000</v>
      </c>
      <c r="H31" s="40" t="n">
        <f aca="false">SUM(H17:H30)</f>
        <v>0</v>
      </c>
    </row>
    <row r="32" customFormat="false" ht="15" hidden="false" customHeight="false" outlineLevel="0" collapsed="false">
      <c r="B32" s="21" t="s">
        <v>388</v>
      </c>
    </row>
    <row r="34" customFormat="false" ht="19.5" hidden="false" customHeight="true" outlineLevel="0" collapsed="false">
      <c r="A34" s="4" t="s">
        <v>389</v>
      </c>
      <c r="B34" s="5"/>
      <c r="C34" s="5"/>
      <c r="D34" s="5"/>
      <c r="E34" s="5"/>
      <c r="F34" s="5"/>
      <c r="G34" s="5"/>
      <c r="H34" s="5"/>
      <c r="I34" s="5"/>
      <c r="J34" s="5"/>
      <c r="K34" s="5"/>
      <c r="L34" s="5"/>
      <c r="M34" s="5"/>
      <c r="N34" s="5"/>
    </row>
    <row r="35" customFormat="false" ht="15" hidden="false" customHeight="false" outlineLevel="0" collapsed="false">
      <c r="B35" s="57" t="s">
        <v>390</v>
      </c>
    </row>
    <row r="36" customFormat="false" ht="27.75" hidden="false" customHeight="true" outlineLevel="0" collapsed="false">
      <c r="B36" s="14" t="s">
        <v>391</v>
      </c>
      <c r="C36" s="14" t="s">
        <v>382</v>
      </c>
      <c r="D36" s="14" t="s">
        <v>392</v>
      </c>
      <c r="E36" s="14" t="s">
        <v>393</v>
      </c>
      <c r="F36" s="14" t="s">
        <v>394</v>
      </c>
      <c r="G36" s="14" t="s">
        <v>395</v>
      </c>
      <c r="H36" s="14" t="s">
        <v>396</v>
      </c>
      <c r="I36" s="14" t="s">
        <v>386</v>
      </c>
      <c r="J36" s="14" t="s">
        <v>397</v>
      </c>
      <c r="K36" s="14" t="s">
        <v>398</v>
      </c>
      <c r="L36" s="14" t="s">
        <v>399</v>
      </c>
      <c r="M36" s="14" t="s">
        <v>400</v>
      </c>
    </row>
    <row r="37" customFormat="false" ht="15" hidden="false" customHeight="false" outlineLevel="0" collapsed="false">
      <c r="B37" s="22" t="s">
        <v>141</v>
      </c>
      <c r="C37" s="8" t="s">
        <v>254</v>
      </c>
      <c r="D37" s="10" t="str">
        <f aca="false">IF(B37="","",IF(IFERROR(INDEX(AbatCat,MATCH(C37,AbatLien,0)),"")="Exonéré","Oui","Non"))</f>
        <v>Non</v>
      </c>
      <c r="E37" s="38" t="n">
        <f aca="false">IF(B37="",0,SUMIFS(ClauseCap70Moins,ClauseBenef,B37))</f>
        <v>173333.333333333</v>
      </c>
      <c r="F37" s="38" t="n">
        <f aca="false">IF(D37="Oui",0,MIN(E37,AV_Abat990))</f>
        <v>152500</v>
      </c>
      <c r="G37" s="38" t="n">
        <f aca="false">IF(D37="Oui",0,MAX(0,E37-F37))</f>
        <v>20833.3333333333</v>
      </c>
      <c r="H37" s="56" t="n">
        <f aca="false">MIN(G37,AV_Seuil20)*AV_Taux1+MAX(0,G37-AV_Seuil20)*AV_Taux2</f>
        <v>4166.66666666666</v>
      </c>
      <c r="I37" s="38" t="n">
        <f aca="false">IF(B37="",0,SUMIFS(ClausePrimes70Plus,ClauseBenef,B37))</f>
        <v>0</v>
      </c>
      <c r="J37" s="38" t="n">
        <f aca="false">IF(OR(D37="Oui",AV_Primes70PlusTransmises=0),0,AV_Abat757*I37/AV_Primes70PlusTransmises)</f>
        <v>0</v>
      </c>
      <c r="K37" s="56" t="n">
        <f aca="false">IF(D37="Oui",0,MAX(0,I37-J37))</f>
        <v>0</v>
      </c>
      <c r="L37" s="38" t="n">
        <f aca="false">IF(B37="",0,SUMIFS(ClauseCapital,ClauseBenef,B37))</f>
        <v>173333.333333333</v>
      </c>
      <c r="M37" s="38" t="n">
        <f aca="false">L37-H37</f>
        <v>169166.666666667</v>
      </c>
    </row>
    <row r="38" customFormat="false" ht="15" hidden="false" customHeight="false" outlineLevel="0" collapsed="false">
      <c r="B38" s="22" t="s">
        <v>144</v>
      </c>
      <c r="C38" s="8" t="s">
        <v>254</v>
      </c>
      <c r="D38" s="10" t="str">
        <f aca="false">IF(B38="","",IF(IFERROR(INDEX(AbatCat,MATCH(C38,AbatLien,0)),"")="Exonéré","Oui","Non"))</f>
        <v>Non</v>
      </c>
      <c r="E38" s="38" t="n">
        <f aca="false">IF(B38="",0,SUMIFS(ClauseCap70Moins,ClauseBenef,B38))</f>
        <v>173333.333333333</v>
      </c>
      <c r="F38" s="38" t="n">
        <f aca="false">IF(D38="Oui",0,MIN(E38,AV_Abat990))</f>
        <v>152500</v>
      </c>
      <c r="G38" s="38" t="n">
        <f aca="false">IF(D38="Oui",0,MAX(0,E38-F38))</f>
        <v>20833.3333333333</v>
      </c>
      <c r="H38" s="56" t="n">
        <f aca="false">MIN(G38,AV_Seuil20)*AV_Taux1+MAX(0,G38-AV_Seuil20)*AV_Taux2</f>
        <v>4166.66666666666</v>
      </c>
      <c r="I38" s="38" t="n">
        <f aca="false">IF(B38="",0,SUMIFS(ClausePrimes70Plus,ClauseBenef,B38))</f>
        <v>0</v>
      </c>
      <c r="J38" s="38" t="n">
        <f aca="false">IF(OR(D38="Oui",AV_Primes70PlusTransmises=0),0,AV_Abat757*I38/AV_Primes70PlusTransmises)</f>
        <v>0</v>
      </c>
      <c r="K38" s="56" t="n">
        <f aca="false">IF(D38="Oui",0,MAX(0,I38-J38))</f>
        <v>0</v>
      </c>
      <c r="L38" s="38" t="n">
        <f aca="false">IF(B38="",0,SUMIFS(ClauseCapital,ClauseBenef,B38))</f>
        <v>173333.333333333</v>
      </c>
      <c r="M38" s="38" t="n">
        <f aca="false">L38-H38</f>
        <v>169166.666666667</v>
      </c>
    </row>
    <row r="39" customFormat="false" ht="15" hidden="false" customHeight="false" outlineLevel="0" collapsed="false">
      <c r="B39" s="22" t="s">
        <v>146</v>
      </c>
      <c r="C39" s="8" t="s">
        <v>254</v>
      </c>
      <c r="D39" s="10" t="str">
        <f aca="false">IF(B39="","",IF(IFERROR(INDEX(AbatCat,MATCH(C39,AbatLien,0)),"")="Exonéré","Oui","Non"))</f>
        <v>Non</v>
      </c>
      <c r="E39" s="38" t="n">
        <f aca="false">IF(B39="",0,SUMIFS(ClauseCap70Moins,ClauseBenef,B39))</f>
        <v>173333.333333333</v>
      </c>
      <c r="F39" s="38" t="n">
        <f aca="false">IF(D39="Oui",0,MIN(E39,AV_Abat990))</f>
        <v>152500</v>
      </c>
      <c r="G39" s="38" t="n">
        <f aca="false">IF(D39="Oui",0,MAX(0,E39-F39))</f>
        <v>20833.3333333333</v>
      </c>
      <c r="H39" s="56" t="n">
        <f aca="false">MIN(G39,AV_Seuil20)*AV_Taux1+MAX(0,G39-AV_Seuil20)*AV_Taux2</f>
        <v>4166.66666666666</v>
      </c>
      <c r="I39" s="38" t="n">
        <f aca="false">IF(B39="",0,SUMIFS(ClausePrimes70Plus,ClauseBenef,B39))</f>
        <v>0</v>
      </c>
      <c r="J39" s="38" t="n">
        <f aca="false">IF(OR(D39="Oui",AV_Primes70PlusTransmises=0),0,AV_Abat757*I39/AV_Primes70PlusTransmises)</f>
        <v>0</v>
      </c>
      <c r="K39" s="56" t="n">
        <f aca="false">IF(D39="Oui",0,MAX(0,I39-J39))</f>
        <v>0</v>
      </c>
      <c r="L39" s="38" t="n">
        <f aca="false">IF(B39="",0,SUMIFS(ClauseCapital,ClauseBenef,B39))</f>
        <v>173333.333333333</v>
      </c>
      <c r="M39" s="38" t="n">
        <f aca="false">L39-H39</f>
        <v>169166.666666667</v>
      </c>
    </row>
    <row r="40" customFormat="false" ht="15" hidden="false" customHeight="false" outlineLevel="0" collapsed="false">
      <c r="B40" s="22" t="s">
        <v>117</v>
      </c>
      <c r="C40" s="8" t="s">
        <v>187</v>
      </c>
      <c r="D40" s="10" t="str">
        <f aca="false">IF(B40="","",IF(IFERROR(INDEX(AbatCat,MATCH(C40,AbatLien,0)),"")="Exonéré","Oui","Non"))</f>
        <v>Oui</v>
      </c>
      <c r="E40" s="38" t="n">
        <f aca="false">IF(B40="",0,SUMIFS(ClauseCap70Moins,ClauseBenef,B40))</f>
        <v>0</v>
      </c>
      <c r="F40" s="38" t="n">
        <f aca="false">IF(D40="Oui",0,MIN(E40,AV_Abat990))</f>
        <v>0</v>
      </c>
      <c r="G40" s="38" t="n">
        <f aca="false">IF(D40="Oui",0,MAX(0,E40-F40))</f>
        <v>0</v>
      </c>
      <c r="H40" s="56" t="n">
        <f aca="false">MIN(G40,AV_Seuil20)*AV_Taux1+MAX(0,G40-AV_Seuil20)*AV_Taux2</f>
        <v>0</v>
      </c>
      <c r="I40" s="38" t="n">
        <f aca="false">IF(B40="",0,SUMIFS(ClausePrimes70Plus,ClauseBenef,B40))</f>
        <v>0</v>
      </c>
      <c r="J40" s="38" t="n">
        <f aca="false">IF(OR(D40="Oui",AV_Primes70PlusTransmises=0),0,AV_Abat757*I40/AV_Primes70PlusTransmises)</f>
        <v>0</v>
      </c>
      <c r="K40" s="56" t="n">
        <f aca="false">IF(D40="Oui",0,MAX(0,I40-J40))</f>
        <v>0</v>
      </c>
      <c r="L40" s="38" t="n">
        <f aca="false">IF(B40="",0,SUMIFS(ClauseCapital,ClauseBenef,B40))</f>
        <v>0</v>
      </c>
      <c r="M40" s="38" t="n">
        <f aca="false">L40-H40</f>
        <v>0</v>
      </c>
    </row>
    <row r="41" customFormat="false" ht="15" hidden="false" customHeight="false" outlineLevel="0" collapsed="false">
      <c r="B41" s="22"/>
      <c r="C41" s="8"/>
      <c r="D41" s="10" t="str">
        <f aca="false">IF(B41="","",IF(IFERROR(INDEX(AbatCat,MATCH(C41,AbatLien,0)),"")="Exonéré","Oui","Non"))</f>
        <v/>
      </c>
      <c r="E41" s="38" t="n">
        <f aca="false">IF(B41="",0,SUMIFS(ClauseCap70Moins,ClauseBenef,B41))</f>
        <v>0</v>
      </c>
      <c r="F41" s="38" t="n">
        <f aca="false">IF(D41="Oui",0,MIN(E41,AV_Abat990))</f>
        <v>0</v>
      </c>
      <c r="G41" s="38" t="n">
        <f aca="false">IF(D41="Oui",0,MAX(0,E41-F41))</f>
        <v>0</v>
      </c>
      <c r="H41" s="56" t="n">
        <f aca="false">MIN(G41,AV_Seuil20)*AV_Taux1+MAX(0,G41-AV_Seuil20)*AV_Taux2</f>
        <v>0</v>
      </c>
      <c r="I41" s="38" t="n">
        <f aca="false">IF(B41="",0,SUMIFS(ClausePrimes70Plus,ClauseBenef,B41))</f>
        <v>0</v>
      </c>
      <c r="J41" s="38" t="n">
        <f aca="false">IF(OR(D41="Oui",AV_Primes70PlusTransmises=0),0,AV_Abat757*I41/AV_Primes70PlusTransmises)</f>
        <v>0</v>
      </c>
      <c r="K41" s="56" t="n">
        <f aca="false">IF(D41="Oui",0,MAX(0,I41-J41))</f>
        <v>0</v>
      </c>
      <c r="L41" s="38" t="n">
        <f aca="false">IF(B41="",0,SUMIFS(ClauseCapital,ClauseBenef,B41))</f>
        <v>0</v>
      </c>
      <c r="M41" s="38" t="n">
        <f aca="false">L41-H41</f>
        <v>0</v>
      </c>
    </row>
    <row r="42" customFormat="false" ht="15" hidden="false" customHeight="false" outlineLevel="0" collapsed="false">
      <c r="B42" s="22"/>
      <c r="C42" s="8"/>
      <c r="D42" s="10" t="str">
        <f aca="false">IF(B42="","",IF(IFERROR(INDEX(AbatCat,MATCH(C42,AbatLien,0)),"")="Exonéré","Oui","Non"))</f>
        <v/>
      </c>
      <c r="E42" s="38" t="n">
        <f aca="false">IF(B42="",0,SUMIFS(ClauseCap70Moins,ClauseBenef,B42))</f>
        <v>0</v>
      </c>
      <c r="F42" s="38" t="n">
        <f aca="false">IF(D42="Oui",0,MIN(E42,AV_Abat990))</f>
        <v>0</v>
      </c>
      <c r="G42" s="38" t="n">
        <f aca="false">IF(D42="Oui",0,MAX(0,E42-F42))</f>
        <v>0</v>
      </c>
      <c r="H42" s="56" t="n">
        <f aca="false">MIN(G42,AV_Seuil20)*AV_Taux1+MAX(0,G42-AV_Seuil20)*AV_Taux2</f>
        <v>0</v>
      </c>
      <c r="I42" s="38" t="n">
        <f aca="false">IF(B42="",0,SUMIFS(ClausePrimes70Plus,ClauseBenef,B42))</f>
        <v>0</v>
      </c>
      <c r="J42" s="38" t="n">
        <f aca="false">IF(OR(D42="Oui",AV_Primes70PlusTransmises=0),0,AV_Abat757*I42/AV_Primes70PlusTransmises)</f>
        <v>0</v>
      </c>
      <c r="K42" s="56" t="n">
        <f aca="false">IF(D42="Oui",0,MAX(0,I42-J42))</f>
        <v>0</v>
      </c>
      <c r="L42" s="38" t="n">
        <f aca="false">IF(B42="",0,SUMIFS(ClauseCapital,ClauseBenef,B42))</f>
        <v>0</v>
      </c>
      <c r="M42" s="38" t="n">
        <f aca="false">L42-H42</f>
        <v>0</v>
      </c>
    </row>
    <row r="43" customFormat="false" ht="15" hidden="false" customHeight="false" outlineLevel="0" collapsed="false">
      <c r="B43" s="22"/>
      <c r="C43" s="8"/>
      <c r="D43" s="10" t="str">
        <f aca="false">IF(B43="","",IF(IFERROR(INDEX(AbatCat,MATCH(C43,AbatLien,0)),"")="Exonéré","Oui","Non"))</f>
        <v/>
      </c>
      <c r="E43" s="38" t="n">
        <f aca="false">IF(B43="",0,SUMIFS(ClauseCap70Moins,ClauseBenef,B43))</f>
        <v>0</v>
      </c>
      <c r="F43" s="38" t="n">
        <f aca="false">IF(D43="Oui",0,MIN(E43,AV_Abat990))</f>
        <v>0</v>
      </c>
      <c r="G43" s="38" t="n">
        <f aca="false">IF(D43="Oui",0,MAX(0,E43-F43))</f>
        <v>0</v>
      </c>
      <c r="H43" s="56" t="n">
        <f aca="false">MIN(G43,AV_Seuil20)*AV_Taux1+MAX(0,G43-AV_Seuil20)*AV_Taux2</f>
        <v>0</v>
      </c>
      <c r="I43" s="38" t="n">
        <f aca="false">IF(B43="",0,SUMIFS(ClausePrimes70Plus,ClauseBenef,B43))</f>
        <v>0</v>
      </c>
      <c r="J43" s="38" t="n">
        <f aca="false">IF(OR(D43="Oui",AV_Primes70PlusTransmises=0),0,AV_Abat757*I43/AV_Primes70PlusTransmises)</f>
        <v>0</v>
      </c>
      <c r="K43" s="56" t="n">
        <f aca="false">IF(D43="Oui",0,MAX(0,I43-J43))</f>
        <v>0</v>
      </c>
      <c r="L43" s="38" t="n">
        <f aca="false">IF(B43="",0,SUMIFS(ClauseCapital,ClauseBenef,B43))</f>
        <v>0</v>
      </c>
      <c r="M43" s="38" t="n">
        <f aca="false">L43-H43</f>
        <v>0</v>
      </c>
    </row>
    <row r="44" customFormat="false" ht="15" hidden="false" customHeight="false" outlineLevel="0" collapsed="false">
      <c r="B44" s="22"/>
      <c r="C44" s="8"/>
      <c r="D44" s="10" t="str">
        <f aca="false">IF(B44="","",IF(IFERROR(INDEX(AbatCat,MATCH(C44,AbatLien,0)),"")="Exonéré","Oui","Non"))</f>
        <v/>
      </c>
      <c r="E44" s="38" t="n">
        <f aca="false">IF(B44="",0,SUMIFS(ClauseCap70Moins,ClauseBenef,B44))</f>
        <v>0</v>
      </c>
      <c r="F44" s="38" t="n">
        <f aca="false">IF(D44="Oui",0,MIN(E44,AV_Abat990))</f>
        <v>0</v>
      </c>
      <c r="G44" s="38" t="n">
        <f aca="false">IF(D44="Oui",0,MAX(0,E44-F44))</f>
        <v>0</v>
      </c>
      <c r="H44" s="56" t="n">
        <f aca="false">MIN(G44,AV_Seuil20)*AV_Taux1+MAX(0,G44-AV_Seuil20)*AV_Taux2</f>
        <v>0</v>
      </c>
      <c r="I44" s="38" t="n">
        <f aca="false">IF(B44="",0,SUMIFS(ClausePrimes70Plus,ClauseBenef,B44))</f>
        <v>0</v>
      </c>
      <c r="J44" s="38" t="n">
        <f aca="false">IF(OR(D44="Oui",AV_Primes70PlusTransmises=0),0,AV_Abat757*I44/AV_Primes70PlusTransmises)</f>
        <v>0</v>
      </c>
      <c r="K44" s="56" t="n">
        <f aca="false">IF(D44="Oui",0,MAX(0,I44-J44))</f>
        <v>0</v>
      </c>
      <c r="L44" s="38" t="n">
        <f aca="false">IF(B44="",0,SUMIFS(ClauseCapital,ClauseBenef,B44))</f>
        <v>0</v>
      </c>
      <c r="M44" s="38" t="n">
        <f aca="false">L44-H44</f>
        <v>0</v>
      </c>
    </row>
    <row r="45" customFormat="false" ht="15" hidden="false" customHeight="false" outlineLevel="0" collapsed="false">
      <c r="B45" s="17" t="s">
        <v>337</v>
      </c>
      <c r="E45" s="40" t="n">
        <f aca="false">SUM(E37:E44)</f>
        <v>520000</v>
      </c>
      <c r="G45" s="40" t="n">
        <f aca="false">SUM(G37:G44)</f>
        <v>62499.9999999999</v>
      </c>
      <c r="H45" s="41" t="n">
        <f aca="false">SUM(H37:H44)</f>
        <v>12500</v>
      </c>
      <c r="I45" s="40" t="n">
        <f aca="false">SUM(I37:I44)</f>
        <v>0</v>
      </c>
      <c r="K45" s="40" t="n">
        <f aca="false">SUM(K37:K44)</f>
        <v>0</v>
      </c>
      <c r="L45" s="40" t="n">
        <f aca="false">SUM(L37:L44)</f>
        <v>520000</v>
      </c>
      <c r="M45" s="40" t="n">
        <f aca="false">SUM(M37:M44)</f>
        <v>507500</v>
      </c>
    </row>
    <row r="46" customFormat="false" ht="15" hidden="false" customHeight="false" outlineLevel="0" collapsed="false">
      <c r="B46" s="23" t="s">
        <v>401</v>
      </c>
      <c r="L46" s="52" t="n">
        <f aca="false">L45-AV_CapitalTotal</f>
        <v>0</v>
      </c>
    </row>
    <row r="48" customFormat="false" ht="15" hidden="false" customHeight="false" outlineLevel="0" collapsed="false">
      <c r="B48" s="21" t="s">
        <v>402</v>
      </c>
    </row>
    <row r="49" customFormat="false" ht="15" hidden="false" customHeight="false" outlineLevel="0" collapsed="false">
      <c r="B49" s="21" t="s">
        <v>403</v>
      </c>
    </row>
    <row r="50" customFormat="false" ht="15" hidden="false" customHeight="false" outlineLevel="0" collapsed="false">
      <c r="B50" s="21" t="s">
        <v>404</v>
      </c>
    </row>
  </sheetData>
  <dataValidations count="4">
    <dataValidation allowBlank="true" error="Choisissez une valeur dans la liste déroulante." errorStyle="stop" errorTitle="Valeur non autorisée" operator="between" showDropDown="false" showErrorMessage="false" showInputMessage="false" sqref="D6:D11" type="list">
      <formula1>"Client,Conjoint"</formula1>
      <formula2>0</formula2>
    </dataValidation>
    <dataValidation allowBlank="true" error="Choisissez une valeur dans la liste déroulante." errorStyle="stop" errorTitle="Valeur non autorisée" operator="between" showDropDown="false" showErrorMessage="false" showInputMessage="false" sqref="B17:B30" type="list">
      <formula1>"1,2,3,4,5,6"</formula1>
      <formula2>0</formula2>
    </dataValidation>
    <dataValidation allowBlank="true" error="Choisissez une valeur dans la liste déroulante." errorStyle="stop" errorTitle="Valeur non autorisée" operator="between" showDropDown="false" showErrorMessage="false" showInputMessage="false" sqref="D17:D30" type="list">
      <formula1>Parametres!$B$7:$B$18</formula1>
      <formula2>0</formula2>
    </dataValidation>
    <dataValidation allowBlank="true" error="Choisissez une valeur dans la liste déroulante." errorStyle="stop" errorTitle="Valeur non autorisée" operator="between" showDropDown="false" showErrorMessage="false" showInputMessage="false" sqref="C37:C44" type="list">
      <formula1>Parametres!$B$7:$B$18</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4D"/>
    <pageSetUpPr fitToPage="tru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4" min="3" style="0" width="18"/>
    <col collapsed="false" customWidth="true" hidden="false" outlineLevel="0" max="5" min="5" style="0" width="4"/>
    <col collapsed="false" customWidth="true" hidden="false" outlineLevel="0" max="6" min="6" style="0" width="78"/>
  </cols>
  <sheetData>
    <row r="1" customFormat="false" ht="30" hidden="false" customHeight="true" outlineLevel="0" collapsed="false">
      <c r="A1" s="1" t="s">
        <v>405</v>
      </c>
      <c r="B1" s="2"/>
      <c r="C1" s="2"/>
      <c r="D1" s="2"/>
      <c r="E1" s="2"/>
      <c r="F1" s="2"/>
    </row>
    <row r="2" customFormat="false" ht="13.5" hidden="false" customHeight="true" outlineLevel="0" collapsed="false">
      <c r="A2" s="3" t="s">
        <v>406</v>
      </c>
    </row>
    <row r="4" customFormat="false" ht="19.5" hidden="false" customHeight="true" outlineLevel="0" collapsed="false">
      <c r="A4" s="4" t="s">
        <v>407</v>
      </c>
      <c r="B4" s="5"/>
      <c r="C4" s="5"/>
      <c r="D4" s="5"/>
      <c r="E4" s="5"/>
      <c r="F4" s="5"/>
    </row>
    <row r="5" customFormat="false" ht="15" hidden="false" customHeight="false" outlineLevel="0" collapsed="false">
      <c r="B5" s="17" t="s">
        <v>408</v>
      </c>
      <c r="C5" s="8" t="s">
        <v>184</v>
      </c>
    </row>
    <row r="6" customFormat="false" ht="15" hidden="false" customHeight="false" outlineLevel="0" collapsed="false">
      <c r="B6" s="9" t="s">
        <v>409</v>
      </c>
      <c r="C6" s="35" t="str">
        <f aca="false">IF(Rt_Personne="Client",NomClient,NomConjoint)</f>
        <v>Jean MARTIN</v>
      </c>
    </row>
    <row r="7" customFormat="false" ht="15" hidden="false" customHeight="false" outlineLevel="0" collapsed="false">
      <c r="B7" s="9" t="s">
        <v>118</v>
      </c>
      <c r="C7" s="59" t="n">
        <f aca="false">IF(Rt_Personne="Client",DateNaisClient,DateNaisConjoint)</f>
        <v>24909</v>
      </c>
    </row>
    <row r="8" customFormat="false" ht="15" hidden="false" customHeight="false" outlineLevel="0" collapsed="false">
      <c r="B8" s="9" t="s">
        <v>410</v>
      </c>
      <c r="C8" s="45" t="n">
        <f aca="false">YEAR(Rt_DateNais)</f>
        <v>1968</v>
      </c>
    </row>
    <row r="9" customFormat="false" ht="15" hidden="false" customHeight="false" outlineLevel="0" collapsed="false">
      <c r="B9" s="9" t="s">
        <v>411</v>
      </c>
      <c r="C9" s="45" t="n">
        <f aca="false">IF(Rt_Personne="Client",AgeClient,AgeConjoint)</f>
        <v>58</v>
      </c>
    </row>
    <row r="10" customFormat="false" ht="15" hidden="false" customHeight="false" outlineLevel="0" collapsed="false">
      <c r="B10" s="9" t="s">
        <v>160</v>
      </c>
      <c r="C10" s="35" t="str">
        <f aca="false">IF(Rt_Personne="Client",StatutClient,StatutConjoint)</f>
        <v>Salarié du privé</v>
      </c>
    </row>
    <row r="11" customFormat="false" ht="15" hidden="false" customHeight="false" outlineLevel="0" collapsed="false">
      <c r="B11" s="9" t="s">
        <v>412</v>
      </c>
      <c r="C11" s="44" t="n">
        <f aca="false">IF(Rt_Personne="Client",RevBrutClient,RevBrutConjoint)</f>
        <v>78000</v>
      </c>
    </row>
    <row r="12" customFormat="false" ht="15" hidden="false" customHeight="false" outlineLevel="0" collapsed="false">
      <c r="B12" s="9" t="s">
        <v>413</v>
      </c>
      <c r="C12" s="44" t="n">
        <f aca="false">IF(Rt_Personne="Client",RevNetMensClient,RevNetMensConjoint)</f>
        <v>4300</v>
      </c>
    </row>
    <row r="13" customFormat="false" ht="15" hidden="false" customHeight="false" outlineLevel="0" collapsed="false">
      <c r="B13" s="9" t="s">
        <v>414</v>
      </c>
      <c r="C13" s="45" t="n">
        <f aca="false">IF(Rt_Personne="Client",NbEnfClient,NbEnfConjoint)</f>
        <v>3</v>
      </c>
    </row>
    <row r="14" customFormat="false" ht="43.5" hidden="false" customHeight="true" outlineLevel="0" collapsed="false">
      <c r="B14" s="9" t="s">
        <v>415</v>
      </c>
      <c r="C14" s="13" t="str">
        <f aca="false">IF(Rt_Statut="Salarié du privé","✅ Régime général + Agirc-Arrco : le modèle s'applique.","⚠️ Statut hors régime général : reportez directement l'estimation communiquée par la caisse (fonction publique, SSI, CNAVPL, MSA) dans la feuille « Retraite_Objectif ».")</f>
        <v>✅ Régime général + Agirc-Arrco : le modèle s'applique.</v>
      </c>
      <c r="D14" s="13"/>
      <c r="E14" s="13"/>
      <c r="F14" s="13"/>
    </row>
    <row r="16" customFormat="false" ht="19.5" hidden="false" customHeight="true" outlineLevel="0" collapsed="false">
      <c r="A16" s="4" t="s">
        <v>416</v>
      </c>
      <c r="B16" s="5"/>
      <c r="C16" s="5"/>
      <c r="D16" s="5"/>
      <c r="E16" s="5"/>
      <c r="F16" s="5"/>
    </row>
    <row r="17" customFormat="false" ht="27.75" hidden="false" customHeight="true" outlineLevel="0" collapsed="false">
      <c r="B17" s="14"/>
      <c r="C17" s="14" t="s">
        <v>417</v>
      </c>
      <c r="D17" s="14" t="s">
        <v>418</v>
      </c>
      <c r="E17" s="14"/>
    </row>
    <row r="18" customFormat="false" ht="15" hidden="false" customHeight="false" outlineLevel="0" collapsed="false">
      <c r="B18" s="9" t="s">
        <v>419</v>
      </c>
      <c r="C18" s="60" t="n">
        <f aca="false">IFERROR(INDEX(GenAgeLegal,MATCH(Rt_AnneeNais,GenAnnee,0)),64)</f>
        <v>64</v>
      </c>
      <c r="D18" s="30" t="n">
        <f aca="false">C18</f>
        <v>64</v>
      </c>
      <c r="F18" s="21" t="s">
        <v>420</v>
      </c>
    </row>
    <row r="19" customFormat="false" ht="15" hidden="false" customHeight="false" outlineLevel="0" collapsed="false">
      <c r="B19" s="9" t="s">
        <v>421</v>
      </c>
      <c r="C19" s="24" t="n">
        <f aca="false">IFERROR(INDEX(GenDuree,MATCH(Rt_AnneeNais,GenAnnee,0)),172)</f>
        <v>172</v>
      </c>
      <c r="D19" s="28" t="n">
        <f aca="false">C19</f>
        <v>172</v>
      </c>
      <c r="F19" s="21" t="s">
        <v>420</v>
      </c>
    </row>
    <row r="20" customFormat="false" ht="15" hidden="false" customHeight="false" outlineLevel="0" collapsed="false">
      <c r="B20" s="9" t="s">
        <v>422</v>
      </c>
      <c r="C20" s="24" t="n">
        <f aca="false">IFERROR(INDEX(GenAgeTP,MATCH(Rt_AnneeNais,GenAnnee,0)),67)</f>
        <v>67</v>
      </c>
      <c r="D20" s="28" t="n">
        <f aca="false">C20</f>
        <v>67</v>
      </c>
      <c r="F20" s="21" t="s">
        <v>423</v>
      </c>
    </row>
    <row r="21" customFormat="false" ht="15" hidden="false" customHeight="false" outlineLevel="0" collapsed="false">
      <c r="B21" s="21" t="s">
        <v>424</v>
      </c>
    </row>
    <row r="23" customFormat="false" ht="19.5" hidden="false" customHeight="true" outlineLevel="0" collapsed="false">
      <c r="A23" s="4" t="s">
        <v>425</v>
      </c>
      <c r="B23" s="5"/>
      <c r="C23" s="5"/>
      <c r="D23" s="5"/>
      <c r="E23" s="5"/>
      <c r="F23" s="5"/>
    </row>
    <row r="24" customFormat="false" ht="15" hidden="false" customHeight="false" outlineLevel="0" collapsed="false">
      <c r="B24" s="9" t="s">
        <v>426</v>
      </c>
      <c r="C24" s="28" t="n">
        <v>145</v>
      </c>
      <c r="F24" s="21" t="s">
        <v>427</v>
      </c>
    </row>
    <row r="25" customFormat="false" ht="15" hidden="false" customHeight="false" outlineLevel="0" collapsed="false">
      <c r="B25" s="9" t="s">
        <v>428</v>
      </c>
      <c r="C25" s="28" t="n">
        <v>2025</v>
      </c>
    </row>
    <row r="26" customFormat="false" ht="15" hidden="false" customHeight="false" outlineLevel="0" collapsed="false">
      <c r="B26" s="23" t="s">
        <v>429</v>
      </c>
      <c r="C26" s="24" t="n">
        <f aca="false">Rt_AnneeReleve-Rt_AnneeNais</f>
        <v>57</v>
      </c>
    </row>
    <row r="27" customFormat="false" ht="15" hidden="false" customHeight="false" outlineLevel="0" collapsed="false">
      <c r="B27" s="9" t="s">
        <v>430</v>
      </c>
      <c r="C27" s="28" t="n">
        <v>0</v>
      </c>
    </row>
    <row r="28" customFormat="false" ht="15" hidden="false" customHeight="false" outlineLevel="0" collapsed="false">
      <c r="B28" s="23" t="s">
        <v>431</v>
      </c>
      <c r="C28" s="24" t="n">
        <f aca="false">Rt_TrimReleve+Rt_TrimMajo</f>
        <v>145</v>
      </c>
    </row>
    <row r="29" customFormat="false" ht="15" hidden="false" customHeight="false" outlineLevel="0" collapsed="false">
      <c r="B29" s="23" t="s">
        <v>432</v>
      </c>
      <c r="C29" s="60" t="n">
        <f aca="false">MIN(Rt_AgeTP,MAX(Rt_AgeLegal,Rt_AgeReleve+(Rt_DureeRequise-Rt_TrimTotalReleve)/4))</f>
        <v>64</v>
      </c>
      <c r="F29" s="21" t="s">
        <v>433</v>
      </c>
    </row>
    <row r="30" customFormat="false" ht="15" hidden="false" customHeight="false" outlineLevel="0" collapsed="false">
      <c r="B30" s="17" t="s">
        <v>434</v>
      </c>
      <c r="C30" s="30" t="n">
        <v>64</v>
      </c>
      <c r="F30" s="21" t="s">
        <v>435</v>
      </c>
    </row>
    <row r="32" customFormat="false" ht="19.5" hidden="false" customHeight="true" outlineLevel="0" collapsed="false">
      <c r="A32" s="4" t="s">
        <v>436</v>
      </c>
      <c r="B32" s="5"/>
      <c r="C32" s="5"/>
      <c r="D32" s="5"/>
      <c r="E32" s="5"/>
      <c r="F32" s="5"/>
    </row>
    <row r="33" customFormat="false" ht="15" hidden="false" customHeight="false" outlineLevel="0" collapsed="false">
      <c r="B33" s="9" t="s">
        <v>437</v>
      </c>
      <c r="C33" s="8" t="s">
        <v>438</v>
      </c>
      <c r="F33" s="21" t="s">
        <v>439</v>
      </c>
    </row>
    <row r="34" customFormat="false" ht="15" hidden="false" customHeight="false" outlineLevel="0" collapsed="false">
      <c r="B34" s="9" t="s">
        <v>440</v>
      </c>
      <c r="C34" s="29" t="n">
        <v>40000</v>
      </c>
    </row>
    <row r="35" customFormat="false" ht="15" hidden="false" customHeight="false" outlineLevel="0" collapsed="false">
      <c r="B35" s="23" t="s">
        <v>441</v>
      </c>
      <c r="C35" s="31" t="n">
        <f aca="false">MIN(Rt_SalaireBrut,PASS)*CoefSAM</f>
        <v>40851</v>
      </c>
      <c r="F35" s="21" t="s">
        <v>442</v>
      </c>
    </row>
    <row r="36" customFormat="false" ht="15" hidden="false" customHeight="false" outlineLevel="0" collapsed="false">
      <c r="B36" s="17" t="s">
        <v>443</v>
      </c>
      <c r="C36" s="41" t="n">
        <f aca="false">IF(Rt_ModeSAM="Saisie directe",Rt_SAM_Saisi,Rt_SAM_Auto)</f>
        <v>40851</v>
      </c>
    </row>
    <row r="38" customFormat="false" ht="15" hidden="false" customHeight="false" outlineLevel="0" collapsed="false">
      <c r="B38" s="9" t="s">
        <v>444</v>
      </c>
      <c r="C38" s="28" t="n">
        <v>4800</v>
      </c>
    </row>
    <row r="39" customFormat="false" ht="15" hidden="false" customHeight="false" outlineLevel="0" collapsed="false">
      <c r="B39" s="23" t="s">
        <v>445</v>
      </c>
      <c r="C39" s="60" t="n">
        <f aca="false">IF(ArrcoAchat=0,0,(MIN(Rt_SalaireBrut,PASS)*ArrcoT1+MAX(0,MIN(Rt_SalaireBrut,8*PASS)-PASS)*ArrcoT2)/ArrcoAchat)</f>
        <v>399.724584771916</v>
      </c>
    </row>
    <row r="41" customFormat="false" ht="15" hidden="false" customHeight="false" outlineLevel="0" collapsed="false">
      <c r="B41" s="21" t="s">
        <v>446</v>
      </c>
    </row>
  </sheetData>
  <mergeCells count="1">
    <mergeCell ref="C14:F14"/>
  </mergeCells>
  <dataValidations count="2">
    <dataValidation allowBlank="true" error="Choisissez une valeur dans la liste déroulante." errorStyle="stop" errorTitle="Valeur non autorisée" operator="between" showDropDown="false" showErrorMessage="false" showInputMessage="false" sqref="C5" type="list">
      <formula1>"Client,Conjoint"</formula1>
      <formula2>0</formula2>
    </dataValidation>
    <dataValidation allowBlank="true" error="Choisissez une valeur dans la liste déroulante." errorStyle="stop" errorTitle="Valeur non autorisée" operator="between" showDropDown="false" showErrorMessage="false" showInputMessage="false" sqref="C33" type="list">
      <formula1>"Saisie directe,Estimation automatique"</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4D"/>
    <pageSetUpPr fitToPage="true"/>
  </sheetPr>
  <dimension ref="A1:J42"/>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4"/>
    <col collapsed="false" customWidth="true" hidden="false" outlineLevel="0" max="3" min="3" style="0" width="3"/>
    <col collapsed="false" customWidth="true" hidden="false" outlineLevel="0" max="9" min="4" style="0" width="15"/>
    <col collapsed="false" customWidth="true" hidden="false" outlineLevel="0" max="10" min="10" style="0" width="18"/>
    <col collapsed="false" customWidth="true" hidden="false" outlineLevel="0" max="11" min="11" style="0" width="4"/>
    <col collapsed="false" customWidth="true" hidden="false" outlineLevel="0" max="12" min="12" style="0" width="62"/>
  </cols>
  <sheetData>
    <row r="1" customFormat="false" ht="30" hidden="false" customHeight="true" outlineLevel="0" collapsed="false">
      <c r="A1" s="1" t="s">
        <v>447</v>
      </c>
      <c r="B1" s="2"/>
      <c r="C1" s="2"/>
      <c r="D1" s="2"/>
      <c r="E1" s="2"/>
      <c r="F1" s="2"/>
      <c r="G1" s="2"/>
      <c r="H1" s="2"/>
      <c r="I1" s="2"/>
      <c r="J1" s="2"/>
    </row>
    <row r="2" customFormat="false" ht="13.5" hidden="false" customHeight="true" outlineLevel="0" collapsed="false">
      <c r="A2" s="3" t="s">
        <v>448</v>
      </c>
    </row>
    <row r="4" customFormat="false" ht="15" hidden="false" customHeight="false" outlineLevel="0" collapsed="false">
      <c r="B4" s="17" t="s">
        <v>408</v>
      </c>
      <c r="D4" s="61" t="str">
        <f aca="false">Rt_Nom</f>
        <v>Jean MARTIN</v>
      </c>
    </row>
    <row r="6" customFormat="false" ht="19.5" hidden="false" customHeight="true" outlineLevel="0" collapsed="false">
      <c r="A6" s="4" t="s">
        <v>449</v>
      </c>
      <c r="B6" s="5"/>
      <c r="C6" s="5"/>
      <c r="D6" s="5"/>
      <c r="E6" s="5"/>
      <c r="F6" s="5"/>
      <c r="G6" s="5"/>
      <c r="H6" s="5"/>
      <c r="I6" s="5"/>
      <c r="J6" s="5"/>
    </row>
    <row r="7" customFormat="false" ht="27.75" hidden="false" customHeight="true" outlineLevel="0" collapsed="false">
      <c r="B7" s="14" t="s">
        <v>450</v>
      </c>
      <c r="C7" s="14"/>
      <c r="D7" s="14" t="s">
        <v>451</v>
      </c>
      <c r="E7" s="14" t="s">
        <v>452</v>
      </c>
      <c r="F7" s="14" t="s">
        <v>453</v>
      </c>
      <c r="G7" s="14" t="s">
        <v>454</v>
      </c>
      <c r="H7" s="14" t="s">
        <v>455</v>
      </c>
      <c r="I7" s="14" t="s">
        <v>456</v>
      </c>
      <c r="J7" s="14" t="s">
        <v>457</v>
      </c>
    </row>
    <row r="8" customFormat="false" ht="15" hidden="false" customHeight="false" outlineLevel="0" collapsed="false">
      <c r="B8" s="17" t="s">
        <v>458</v>
      </c>
      <c r="D8" s="30" t="n">
        <v>62</v>
      </c>
      <c r="E8" s="30" t="n">
        <v>63</v>
      </c>
      <c r="F8" s="30" t="n">
        <v>64</v>
      </c>
      <c r="G8" s="30" t="n">
        <v>65</v>
      </c>
      <c r="H8" s="30" t="n">
        <v>66</v>
      </c>
      <c r="I8" s="30" t="n">
        <v>67</v>
      </c>
      <c r="J8" s="62" t="n">
        <f aca="false">Rt_AgeDepart</f>
        <v>64</v>
      </c>
    </row>
    <row r="9" customFormat="false" ht="15" hidden="false" customHeight="false" outlineLevel="0" collapsed="false">
      <c r="B9" s="9" t="s">
        <v>459</v>
      </c>
      <c r="D9" s="26" t="n">
        <f aca="false">Rt_AnneeNais+D$8</f>
        <v>2030</v>
      </c>
      <c r="E9" s="26" t="n">
        <f aca="false">Rt_AnneeNais+E$8</f>
        <v>2031</v>
      </c>
      <c r="F9" s="26" t="n">
        <f aca="false">Rt_AnneeNais+F$8</f>
        <v>2032</v>
      </c>
      <c r="G9" s="26" t="n">
        <f aca="false">Rt_AnneeNais+G$8</f>
        <v>2033</v>
      </c>
      <c r="H9" s="26" t="n">
        <f aca="false">Rt_AnneeNais+H$8</f>
        <v>2034</v>
      </c>
      <c r="I9" s="26" t="n">
        <f aca="false">Rt_AnneeNais+I$8</f>
        <v>2035</v>
      </c>
      <c r="J9" s="63" t="n">
        <f aca="false">Rt_AnneeNais+J$8</f>
        <v>2032</v>
      </c>
    </row>
    <row r="10" customFormat="false" ht="15" hidden="false" customHeight="false" outlineLevel="0" collapsed="false">
      <c r="B10" s="9" t="s">
        <v>460</v>
      </c>
      <c r="D10" s="10" t="str">
        <f aca="false">IF(D$8&lt;Rt_AgeLegal,"NON","Oui")</f>
        <v>NON</v>
      </c>
      <c r="E10" s="10" t="str">
        <f aca="false">IF(E$8&lt;Rt_AgeLegal,"NON","Oui")</f>
        <v>NON</v>
      </c>
      <c r="F10" s="10" t="str">
        <f aca="false">IF(F$8&lt;Rt_AgeLegal,"NON","Oui")</f>
        <v>Oui</v>
      </c>
      <c r="G10" s="10" t="str">
        <f aca="false">IF(G$8&lt;Rt_AgeLegal,"NON","Oui")</f>
        <v>Oui</v>
      </c>
      <c r="H10" s="10" t="str">
        <f aca="false">IF(H$8&lt;Rt_AgeLegal,"NON","Oui")</f>
        <v>Oui</v>
      </c>
      <c r="I10" s="10" t="str">
        <f aca="false">IF(I$8&lt;Rt_AgeLegal,"NON","Oui")</f>
        <v>Oui</v>
      </c>
      <c r="J10" s="64" t="str">
        <f aca="false">IF(J$8&lt;Rt_AgeLegal,"NON","Oui")</f>
        <v>Oui</v>
      </c>
    </row>
    <row r="11" customFormat="false" ht="15" hidden="false" customHeight="false" outlineLevel="0" collapsed="false">
      <c r="B11" s="9" t="s">
        <v>461</v>
      </c>
      <c r="D11" s="26" t="n">
        <f aca="false">Rt_TrimTotalReleve+4*MAX(0,D$8-Rt_AgeReleve)</f>
        <v>165</v>
      </c>
      <c r="E11" s="26" t="n">
        <f aca="false">Rt_TrimTotalReleve+4*MAX(0,E$8-Rt_AgeReleve)</f>
        <v>169</v>
      </c>
      <c r="F11" s="26" t="n">
        <f aca="false">Rt_TrimTotalReleve+4*MAX(0,F$8-Rt_AgeReleve)</f>
        <v>173</v>
      </c>
      <c r="G11" s="26" t="n">
        <f aca="false">Rt_TrimTotalReleve+4*MAX(0,G$8-Rt_AgeReleve)</f>
        <v>177</v>
      </c>
      <c r="H11" s="26" t="n">
        <f aca="false">Rt_TrimTotalReleve+4*MAX(0,H$8-Rt_AgeReleve)</f>
        <v>181</v>
      </c>
      <c r="I11" s="26" t="n">
        <f aca="false">Rt_TrimTotalReleve+4*MAX(0,I$8-Rt_AgeReleve)</f>
        <v>185</v>
      </c>
      <c r="J11" s="63" t="n">
        <f aca="false">Rt_TrimTotalReleve+4*MAX(0,J$8-Rt_AgeReleve)</f>
        <v>173</v>
      </c>
    </row>
    <row r="12" customFormat="false" ht="15" hidden="false" customHeight="false" outlineLevel="0" collapsed="false">
      <c r="B12" s="9" t="s">
        <v>462</v>
      </c>
      <c r="D12" s="26" t="n">
        <f aca="false">Rt_DureeRequise</f>
        <v>172</v>
      </c>
      <c r="E12" s="26" t="n">
        <f aca="false">Rt_DureeRequise</f>
        <v>172</v>
      </c>
      <c r="F12" s="26" t="n">
        <f aca="false">Rt_DureeRequise</f>
        <v>172</v>
      </c>
      <c r="G12" s="26" t="n">
        <f aca="false">Rt_DureeRequise</f>
        <v>172</v>
      </c>
      <c r="H12" s="26" t="n">
        <f aca="false">Rt_DureeRequise</f>
        <v>172</v>
      </c>
      <c r="I12" s="26" t="n">
        <f aca="false">Rt_DureeRequise</f>
        <v>172</v>
      </c>
      <c r="J12" s="63" t="n">
        <f aca="false">Rt_DureeRequise</f>
        <v>172</v>
      </c>
    </row>
    <row r="13" customFormat="false" ht="15" hidden="false" customHeight="false" outlineLevel="0" collapsed="false">
      <c r="B13" s="9" t="s">
        <v>463</v>
      </c>
      <c r="D13" s="26" t="n">
        <f aca="false">MAX(0,D$12-D$11)</f>
        <v>7</v>
      </c>
      <c r="E13" s="26" t="n">
        <f aca="false">MAX(0,E$12-E$11)</f>
        <v>3</v>
      </c>
      <c r="F13" s="26" t="n">
        <f aca="false">MAX(0,F$12-F$11)</f>
        <v>0</v>
      </c>
      <c r="G13" s="26" t="n">
        <f aca="false">MAX(0,G$12-G$11)</f>
        <v>0</v>
      </c>
      <c r="H13" s="26" t="n">
        <f aca="false">MAX(0,H$12-H$11)</f>
        <v>0</v>
      </c>
      <c r="I13" s="26" t="n">
        <f aca="false">MAX(0,I$12-I$11)</f>
        <v>0</v>
      </c>
      <c r="J13" s="63" t="n">
        <f aca="false">MAX(0,J$12-J$11)</f>
        <v>0</v>
      </c>
    </row>
    <row r="14" customFormat="false" ht="15" hidden="false" customHeight="false" outlineLevel="0" collapsed="false">
      <c r="B14" s="9" t="s">
        <v>464</v>
      </c>
      <c r="D14" s="26" t="n">
        <f aca="false">MAX(0,(Rt_AgeTP-D$8)*4)</f>
        <v>20</v>
      </c>
      <c r="E14" s="26" t="n">
        <f aca="false">MAX(0,(Rt_AgeTP-E$8)*4)</f>
        <v>16</v>
      </c>
      <c r="F14" s="26" t="n">
        <f aca="false">MAX(0,(Rt_AgeTP-F$8)*4)</f>
        <v>12</v>
      </c>
      <c r="G14" s="26" t="n">
        <f aca="false">MAX(0,(Rt_AgeTP-G$8)*4)</f>
        <v>8</v>
      </c>
      <c r="H14" s="26" t="n">
        <f aca="false">MAX(0,(Rt_AgeTP-H$8)*4)</f>
        <v>4</v>
      </c>
      <c r="I14" s="26" t="n">
        <f aca="false">MAX(0,(Rt_AgeTP-I$8)*4)</f>
        <v>0</v>
      </c>
      <c r="J14" s="63" t="n">
        <f aca="false">MAX(0,(Rt_AgeTP-J$8)*4)</f>
        <v>12</v>
      </c>
    </row>
    <row r="15" customFormat="false" ht="15" hidden="false" customHeight="false" outlineLevel="0" collapsed="false">
      <c r="B15" s="9" t="s">
        <v>465</v>
      </c>
      <c r="D15" s="26" t="n">
        <f aca="false">MIN(DecoteMax,MIN(D$13,D$14))</f>
        <v>7</v>
      </c>
      <c r="E15" s="26" t="n">
        <f aca="false">MIN(DecoteMax,MIN(E$13,E$14))</f>
        <v>3</v>
      </c>
      <c r="F15" s="26" t="n">
        <f aca="false">MIN(DecoteMax,MIN(F$13,F$14))</f>
        <v>0</v>
      </c>
      <c r="G15" s="26" t="n">
        <f aca="false">MIN(DecoteMax,MIN(G$13,G$14))</f>
        <v>0</v>
      </c>
      <c r="H15" s="26" t="n">
        <f aca="false">MIN(DecoteMax,MIN(H$13,H$14))</f>
        <v>0</v>
      </c>
      <c r="I15" s="26" t="n">
        <f aca="false">MIN(DecoteMax,MIN(I$13,I$14))</f>
        <v>0</v>
      </c>
      <c r="J15" s="63" t="n">
        <f aca="false">MIN(DecoteMax,MIN(J$13,J$14))</f>
        <v>0</v>
      </c>
    </row>
    <row r="16" customFormat="false" ht="15" hidden="false" customHeight="false" outlineLevel="0" collapsed="false">
      <c r="B16" s="9" t="s">
        <v>466</v>
      </c>
      <c r="D16" s="26" t="n">
        <f aca="false">MAX(0,MIN(D$11-D$12,(D$8-Rt_AgeLegal)*4))</f>
        <v>0</v>
      </c>
      <c r="E16" s="26" t="n">
        <f aca="false">MAX(0,MIN(E$11-E$12,(E$8-Rt_AgeLegal)*4))</f>
        <v>0</v>
      </c>
      <c r="F16" s="26" t="n">
        <f aca="false">MAX(0,MIN(F$11-F$12,(F$8-Rt_AgeLegal)*4))</f>
        <v>0</v>
      </c>
      <c r="G16" s="26" t="n">
        <f aca="false">MAX(0,MIN(G$11-G$12,(G$8-Rt_AgeLegal)*4))</f>
        <v>4</v>
      </c>
      <c r="H16" s="26" t="n">
        <f aca="false">MAX(0,MIN(H$11-H$12,(H$8-Rt_AgeLegal)*4))</f>
        <v>8</v>
      </c>
      <c r="I16" s="26" t="n">
        <f aca="false">MAX(0,MIN(I$11-I$12,(I$8-Rt_AgeLegal)*4))</f>
        <v>12</v>
      </c>
      <c r="J16" s="63" t="n">
        <f aca="false">MAX(0,MIN(J$11-J$12,(J$8-Rt_AgeLegal)*4))</f>
        <v>0</v>
      </c>
    </row>
    <row r="17" customFormat="false" ht="15" hidden="false" customHeight="false" outlineLevel="0" collapsed="false">
      <c r="B17" s="9" t="s">
        <v>467</v>
      </c>
      <c r="D17" s="51" t="n">
        <f aca="false">IF(OR(D$8&gt;=Rt_AgeTP,D$11&gt;=D$12),TauxPlein+D$16*SurcoteTrim,TauxPlein-D$15*DecoteTrim)</f>
        <v>0.4125</v>
      </c>
      <c r="E17" s="51" t="n">
        <f aca="false">IF(OR(E$8&gt;=Rt_AgeTP,E$11&gt;=E$12),TauxPlein+E$16*SurcoteTrim,TauxPlein-E$15*DecoteTrim)</f>
        <v>0.4625</v>
      </c>
      <c r="F17" s="51" t="n">
        <f aca="false">IF(OR(F$8&gt;=Rt_AgeTP,F$11&gt;=F$12),TauxPlein+F$16*SurcoteTrim,TauxPlein-F$15*DecoteTrim)</f>
        <v>0.5</v>
      </c>
      <c r="G17" s="51" t="n">
        <f aca="false">IF(OR(G$8&gt;=Rt_AgeTP,G$11&gt;=G$12),TauxPlein+G$16*SurcoteTrim,TauxPlein-G$15*DecoteTrim)</f>
        <v>0.55</v>
      </c>
      <c r="H17" s="51" t="n">
        <f aca="false">IF(OR(H$8&gt;=Rt_AgeTP,H$11&gt;=H$12),TauxPlein+H$16*SurcoteTrim,TauxPlein-H$15*DecoteTrim)</f>
        <v>0.6</v>
      </c>
      <c r="I17" s="51" t="n">
        <f aca="false">IF(OR(I$8&gt;=Rt_AgeTP,I$11&gt;=I$12),TauxPlein+I$16*SurcoteTrim,TauxPlein-I$15*DecoteTrim)</f>
        <v>0.65</v>
      </c>
      <c r="J17" s="65" t="n">
        <f aca="false">IF(OR(J$8&gt;=Rt_AgeTP,J$11&gt;=J$12),TauxPlein+J$16*SurcoteTrim,TauxPlein-J$15*DecoteTrim)</f>
        <v>0.5</v>
      </c>
    </row>
    <row r="18" customFormat="false" ht="15" hidden="false" customHeight="false" outlineLevel="0" collapsed="false">
      <c r="B18" s="9" t="s">
        <v>468</v>
      </c>
      <c r="D18" s="51" t="n">
        <f aca="false">IF(D$12=0,0,MIN(1,D$11/D$12))</f>
        <v>0.959302325581395</v>
      </c>
      <c r="E18" s="51" t="n">
        <f aca="false">IF(E$12=0,0,MIN(1,E$11/E$12))</f>
        <v>0.982558139534884</v>
      </c>
      <c r="F18" s="51" t="n">
        <f aca="false">IF(F$12=0,0,MIN(1,F$11/F$12))</f>
        <v>1</v>
      </c>
      <c r="G18" s="51" t="n">
        <f aca="false">IF(G$12=0,0,MIN(1,G$11/G$12))</f>
        <v>1</v>
      </c>
      <c r="H18" s="51" t="n">
        <f aca="false">IF(H$12=0,0,MIN(1,H$11/H$12))</f>
        <v>1</v>
      </c>
      <c r="I18" s="51" t="n">
        <f aca="false">IF(I$12=0,0,MIN(1,I$11/I$12))</f>
        <v>1</v>
      </c>
      <c r="J18" s="65" t="n">
        <f aca="false">IF(J$12=0,0,MIN(1,J$11/J$12))</f>
        <v>1</v>
      </c>
    </row>
    <row r="19" customFormat="false" ht="15" hidden="false" customHeight="false" outlineLevel="0" collapsed="false">
      <c r="B19" s="9" t="s">
        <v>469</v>
      </c>
      <c r="D19" s="66" t="n">
        <f aca="false">Rt_SAM</f>
        <v>40851</v>
      </c>
      <c r="E19" s="66" t="n">
        <f aca="false">Rt_SAM</f>
        <v>40851</v>
      </c>
      <c r="F19" s="66" t="n">
        <f aca="false">Rt_SAM</f>
        <v>40851</v>
      </c>
      <c r="G19" s="66" t="n">
        <f aca="false">Rt_SAM</f>
        <v>40851</v>
      </c>
      <c r="H19" s="66" t="n">
        <f aca="false">Rt_SAM</f>
        <v>40851</v>
      </c>
      <c r="I19" s="66" t="n">
        <f aca="false">Rt_SAM</f>
        <v>40851</v>
      </c>
      <c r="J19" s="67" t="n">
        <f aca="false">Rt_SAM</f>
        <v>40851</v>
      </c>
    </row>
    <row r="20" customFormat="false" ht="15" hidden="false" customHeight="false" outlineLevel="0" collapsed="false">
      <c r="B20" s="9" t="s">
        <v>470</v>
      </c>
      <c r="D20" s="66" t="n">
        <f aca="false">D$19*D$17*D$18</f>
        <v>16165.2394622093</v>
      </c>
      <c r="E20" s="66" t="n">
        <f aca="false">E$19*E$17*E$18</f>
        <v>18564.0481831395</v>
      </c>
      <c r="F20" s="66" t="n">
        <f aca="false">F$19*F$17*F$18</f>
        <v>20425.5</v>
      </c>
      <c r="G20" s="66" t="n">
        <f aca="false">G$19*G$17*G$18</f>
        <v>22468.05</v>
      </c>
      <c r="H20" s="66" t="n">
        <f aca="false">H$19*H$17*H$18</f>
        <v>24510.6</v>
      </c>
      <c r="I20" s="66" t="n">
        <f aca="false">I$19*I$17*I$18</f>
        <v>26553.15</v>
      </c>
      <c r="J20" s="67" t="n">
        <f aca="false">J$19*J$17*J$18</f>
        <v>20425.5</v>
      </c>
    </row>
    <row r="21" customFormat="false" ht="15" hidden="false" customHeight="false" outlineLevel="0" collapsed="false">
      <c r="B21" s="9" t="s">
        <v>471</v>
      </c>
      <c r="D21" s="66" t="n">
        <f aca="false">IF(Rt_NbEnfants&gt;=3,D$20*MajEnfants,0)</f>
        <v>1616.52394622093</v>
      </c>
      <c r="E21" s="66" t="n">
        <f aca="false">IF(Rt_NbEnfants&gt;=3,E$20*MajEnfants,0)</f>
        <v>1856.40481831395</v>
      </c>
      <c r="F21" s="66" t="n">
        <f aca="false">IF(Rt_NbEnfants&gt;=3,F$20*MajEnfants,0)</f>
        <v>2042.55</v>
      </c>
      <c r="G21" s="66" t="n">
        <f aca="false">IF(Rt_NbEnfants&gt;=3,G$20*MajEnfants,0)</f>
        <v>2246.805</v>
      </c>
      <c r="H21" s="66" t="n">
        <f aca="false">IF(Rt_NbEnfants&gt;=3,H$20*MajEnfants,0)</f>
        <v>2451.06</v>
      </c>
      <c r="I21" s="66" t="n">
        <f aca="false">IF(Rt_NbEnfants&gt;=3,I$20*MajEnfants,0)</f>
        <v>2655.315</v>
      </c>
      <c r="J21" s="67" t="n">
        <f aca="false">IF(Rt_NbEnfants&gt;=3,J$20*MajEnfants,0)</f>
        <v>2042.55</v>
      </c>
    </row>
    <row r="22" customFormat="false" ht="15" hidden="false" customHeight="false" outlineLevel="0" collapsed="false">
      <c r="B22" s="17" t="s">
        <v>472</v>
      </c>
      <c r="D22" s="41" t="n">
        <f aca="false">D$20+D$21</f>
        <v>17781.7634084302</v>
      </c>
      <c r="E22" s="41" t="n">
        <f aca="false">E$20+E$21</f>
        <v>20420.4530014535</v>
      </c>
      <c r="F22" s="41" t="n">
        <f aca="false">F$20+F$21</f>
        <v>22468.05</v>
      </c>
      <c r="G22" s="41" t="n">
        <f aca="false">G$20+G$21</f>
        <v>24714.855</v>
      </c>
      <c r="H22" s="41" t="n">
        <f aca="false">H$20+H$21</f>
        <v>26961.66</v>
      </c>
      <c r="I22" s="41" t="n">
        <f aca="false">I$20+I$21</f>
        <v>29208.465</v>
      </c>
      <c r="J22" s="41" t="n">
        <f aca="false">J$20+J$21</f>
        <v>22468.05</v>
      </c>
    </row>
    <row r="24" customFormat="false" ht="15" hidden="false" customHeight="false" outlineLevel="0" collapsed="false">
      <c r="B24" s="9" t="s">
        <v>473</v>
      </c>
      <c r="D24" s="26" t="n">
        <f aca="false">Rt_PointsReleve+Rt_PointsAnnuels*MAX(0,D$8-Rt_AgeReleve)</f>
        <v>6798.62292385958</v>
      </c>
      <c r="E24" s="26" t="n">
        <f aca="false">Rt_PointsReleve+Rt_PointsAnnuels*MAX(0,E$8-Rt_AgeReleve)</f>
        <v>7198.34750863149</v>
      </c>
      <c r="F24" s="26" t="n">
        <f aca="false">Rt_PointsReleve+Rt_PointsAnnuels*MAX(0,F$8-Rt_AgeReleve)</f>
        <v>7598.07209340341</v>
      </c>
      <c r="G24" s="26" t="n">
        <f aca="false">Rt_PointsReleve+Rt_PointsAnnuels*MAX(0,G$8-Rt_AgeReleve)</f>
        <v>7997.79667817533</v>
      </c>
      <c r="H24" s="26" t="n">
        <f aca="false">Rt_PointsReleve+Rt_PointsAnnuels*MAX(0,H$8-Rt_AgeReleve)</f>
        <v>8397.52126294724</v>
      </c>
      <c r="I24" s="26" t="n">
        <f aca="false">Rt_PointsReleve+Rt_PointsAnnuels*MAX(0,I$8-Rt_AgeReleve)</f>
        <v>8797.24584771916</v>
      </c>
      <c r="J24" s="63" t="n">
        <f aca="false">Rt_PointsReleve+Rt_PointsAnnuels*MAX(0,J$8-Rt_AgeReleve)</f>
        <v>7598.07209340341</v>
      </c>
    </row>
    <row r="25" customFormat="false" ht="15" hidden="false" customHeight="false" outlineLevel="0" collapsed="false">
      <c r="B25" s="9" t="s">
        <v>474</v>
      </c>
      <c r="D25" s="68" t="n">
        <f aca="false">IF(ArrcoCoefOn=0,1,IF(D$8&gt;=Rt_AgeTauxPlein+4,1.3,IF(D$8&gt;=Rt_AgeTauxPlein+3,1.2,IF(D$8&gt;=Rt_AgeTauxPlein+2,1.1,1))))</f>
        <v>1</v>
      </c>
      <c r="E25" s="68" t="n">
        <f aca="false">IF(ArrcoCoefOn=0,1,IF(E$8&gt;=Rt_AgeTauxPlein+4,1.3,IF(E$8&gt;=Rt_AgeTauxPlein+3,1.2,IF(E$8&gt;=Rt_AgeTauxPlein+2,1.1,1))))</f>
        <v>1</v>
      </c>
      <c r="F25" s="68" t="n">
        <f aca="false">IF(ArrcoCoefOn=0,1,IF(F$8&gt;=Rt_AgeTauxPlein+4,1.3,IF(F$8&gt;=Rt_AgeTauxPlein+3,1.2,IF(F$8&gt;=Rt_AgeTauxPlein+2,1.1,1))))</f>
        <v>1</v>
      </c>
      <c r="G25" s="68" t="n">
        <f aca="false">IF(ArrcoCoefOn=0,1,IF(G$8&gt;=Rt_AgeTauxPlein+4,1.3,IF(G$8&gt;=Rt_AgeTauxPlein+3,1.2,IF(G$8&gt;=Rt_AgeTauxPlein+2,1.1,1))))</f>
        <v>1</v>
      </c>
      <c r="H25" s="68" t="n">
        <f aca="false">IF(ArrcoCoefOn=0,1,IF(H$8&gt;=Rt_AgeTauxPlein+4,1.3,IF(H$8&gt;=Rt_AgeTauxPlein+3,1.2,IF(H$8&gt;=Rt_AgeTauxPlein+2,1.1,1))))</f>
        <v>1</v>
      </c>
      <c r="I25" s="68" t="n">
        <f aca="false">IF(ArrcoCoefOn=0,1,IF(I$8&gt;=Rt_AgeTauxPlein+4,1.3,IF(I$8&gt;=Rt_AgeTauxPlein+3,1.2,IF(I$8&gt;=Rt_AgeTauxPlein+2,1.1,1))))</f>
        <v>1</v>
      </c>
      <c r="J25" s="69" t="n">
        <f aca="false">IF(ArrcoCoefOn=0,1,IF(J$8&gt;=Rt_AgeTauxPlein+4,1.3,IF(J$8&gt;=Rt_AgeTauxPlein+3,1.2,IF(J$8&gt;=Rt_AgeTauxPlein+2,1.1,1))))</f>
        <v>1</v>
      </c>
    </row>
    <row r="26" customFormat="false" ht="15" hidden="false" customHeight="false" outlineLevel="0" collapsed="false">
      <c r="B26" s="9" t="s">
        <v>475</v>
      </c>
      <c r="D26" s="66" t="n">
        <f aca="false">D$24*ArrcoService*D$25</f>
        <v>9780.49893826439</v>
      </c>
      <c r="E26" s="66" t="n">
        <f aca="false">E$24*ArrcoService*E$25</f>
        <v>10355.5427259173</v>
      </c>
      <c r="F26" s="66" t="n">
        <f aca="false">F$24*ArrcoService*F$25</f>
        <v>10930.5865135701</v>
      </c>
      <c r="G26" s="66" t="n">
        <f aca="false">G$24*ArrcoService*G$25</f>
        <v>11505.630301223</v>
      </c>
      <c r="H26" s="66" t="n">
        <f aca="false">H$24*ArrcoService*H$25</f>
        <v>12080.6740888759</v>
      </c>
      <c r="I26" s="66" t="n">
        <f aca="false">I$24*ArrcoService*I$25</f>
        <v>12655.7178765288</v>
      </c>
      <c r="J26" s="67" t="n">
        <f aca="false">J$24*ArrcoService*J$25</f>
        <v>10930.5865135701</v>
      </c>
    </row>
    <row r="27" customFormat="false" ht="15" hidden="false" customHeight="false" outlineLevel="0" collapsed="false">
      <c r="B27" s="9" t="s">
        <v>476</v>
      </c>
      <c r="D27" s="66" t="n">
        <f aca="false">IF(Rt_NbEnfants&gt;=3,MIN(D$26*ArrcoMajFam,ArrcoMajPlafond),0)</f>
        <v>978.049893826439</v>
      </c>
      <c r="E27" s="66" t="n">
        <f aca="false">IF(Rt_NbEnfants&gt;=3,MIN(E$26*ArrcoMajFam,ArrcoMajPlafond),0)</f>
        <v>1035.55427259173</v>
      </c>
      <c r="F27" s="66" t="n">
        <f aca="false">IF(Rt_NbEnfants&gt;=3,MIN(F$26*ArrcoMajFam,ArrcoMajPlafond),0)</f>
        <v>1093.05865135701</v>
      </c>
      <c r="G27" s="66" t="n">
        <f aca="false">IF(Rt_NbEnfants&gt;=3,MIN(G$26*ArrcoMajFam,ArrcoMajPlafond),0)</f>
        <v>1150.5630301223</v>
      </c>
      <c r="H27" s="66" t="n">
        <f aca="false">IF(Rt_NbEnfants&gt;=3,MIN(H$26*ArrcoMajFam,ArrcoMajPlafond),0)</f>
        <v>1208.06740888759</v>
      </c>
      <c r="I27" s="66" t="n">
        <f aca="false">IF(Rt_NbEnfants&gt;=3,MIN(I$26*ArrcoMajFam,ArrcoMajPlafond),0)</f>
        <v>1265.57178765288</v>
      </c>
      <c r="J27" s="67" t="n">
        <f aca="false">IF(Rt_NbEnfants&gt;=3,MIN(J$26*ArrcoMajFam,ArrcoMajPlafond),0)</f>
        <v>1093.05865135701</v>
      </c>
    </row>
    <row r="28" customFormat="false" ht="15" hidden="false" customHeight="false" outlineLevel="0" collapsed="false">
      <c r="B28" s="17" t="s">
        <v>477</v>
      </c>
      <c r="D28" s="41" t="n">
        <f aca="false">D$26+D$27</f>
        <v>10758.5488320908</v>
      </c>
      <c r="E28" s="41" t="n">
        <f aca="false">E$26+E$27</f>
        <v>11391.096998509</v>
      </c>
      <c r="F28" s="41" t="n">
        <f aca="false">F$26+F$27</f>
        <v>12023.6451649272</v>
      </c>
      <c r="G28" s="41" t="n">
        <f aca="false">G$26+G$27</f>
        <v>12656.1933313453</v>
      </c>
      <c r="H28" s="41" t="n">
        <f aca="false">H$26+H$27</f>
        <v>13288.7414977635</v>
      </c>
      <c r="I28" s="41" t="n">
        <f aca="false">I$26+I$27</f>
        <v>13921.2896641817</v>
      </c>
      <c r="J28" s="41" t="n">
        <f aca="false">J$26+J$27</f>
        <v>12023.6451649272</v>
      </c>
    </row>
    <row r="30" customFormat="false" ht="15" hidden="false" customHeight="false" outlineLevel="0" collapsed="false">
      <c r="B30" s="17" t="s">
        <v>478</v>
      </c>
      <c r="D30" s="41" t="n">
        <f aca="false">D$22+D$28</f>
        <v>28540.3122405211</v>
      </c>
      <c r="E30" s="41" t="n">
        <f aca="false">E$22+E$28</f>
        <v>31811.5499999625</v>
      </c>
      <c r="F30" s="41" t="n">
        <f aca="false">F$22+F$28</f>
        <v>34491.6951649272</v>
      </c>
      <c r="G30" s="41" t="n">
        <f aca="false">G$22+G$28</f>
        <v>37371.0483313453</v>
      </c>
      <c r="H30" s="41" t="n">
        <f aca="false">H$22+H$28</f>
        <v>40250.4014977635</v>
      </c>
      <c r="I30" s="41" t="n">
        <f aca="false">I$22+I$28</f>
        <v>43129.7546641817</v>
      </c>
      <c r="J30" s="41" t="n">
        <f aca="false">J$22+J$28</f>
        <v>34491.6951649272</v>
      </c>
    </row>
    <row r="31" customFormat="false" ht="15" hidden="false" customHeight="false" outlineLevel="0" collapsed="false">
      <c r="B31" s="9" t="s">
        <v>479</v>
      </c>
      <c r="D31" s="66" t="n">
        <f aca="false">D$30/12</f>
        <v>2378.35935337676</v>
      </c>
      <c r="E31" s="66" t="n">
        <f aca="false">E$30/12</f>
        <v>2650.96249999687</v>
      </c>
      <c r="F31" s="66" t="n">
        <f aca="false">F$30/12</f>
        <v>2874.3079304106</v>
      </c>
      <c r="G31" s="66" t="n">
        <f aca="false">G$30/12</f>
        <v>3114.25402761211</v>
      </c>
      <c r="H31" s="66" t="n">
        <f aca="false">H$30/12</f>
        <v>3354.20012481362</v>
      </c>
      <c r="I31" s="66" t="n">
        <f aca="false">I$30/12</f>
        <v>3594.14622201514</v>
      </c>
      <c r="J31" s="67" t="n">
        <f aca="false">J$30/12</f>
        <v>2874.3079304106</v>
      </c>
    </row>
    <row r="32" customFormat="false" ht="15" hidden="false" customHeight="false" outlineLevel="0" collapsed="false">
      <c r="B32" s="9" t="s">
        <v>480</v>
      </c>
      <c r="D32" s="66" t="n">
        <f aca="false">-(D$22*PS_Base+D$28*PS_Comp)</f>
        <v>-2704.75390220833</v>
      </c>
      <c r="E32" s="66" t="n">
        <f aca="false">-(E$22*PS_Base+E$28*PS_Comp)</f>
        <v>-3008.76201998168</v>
      </c>
      <c r="F32" s="66" t="n">
        <f aca="false">-(F$22*PS_Base+F$28*PS_Comp)</f>
        <v>-3258.98071165764</v>
      </c>
      <c r="G32" s="66" t="n">
        <f aca="false">-(G$22*PS_Base+G$28*PS_Comp)</f>
        <v>-3527.32733146588</v>
      </c>
      <c r="H32" s="66" t="n">
        <f aca="false">-(H$22*PS_Base+H$28*PS_Comp)</f>
        <v>-3795.67395127411</v>
      </c>
      <c r="I32" s="66" t="n">
        <f aca="false">-(I$22*PS_Base+I$28*PS_Comp)</f>
        <v>-4064.02057108235</v>
      </c>
      <c r="J32" s="67" t="n">
        <f aca="false">-(J$22*PS_Base+J$28*PS_Comp)</f>
        <v>-3258.98071165764</v>
      </c>
    </row>
    <row r="33" customFormat="false" ht="15" hidden="false" customHeight="false" outlineLevel="0" collapsed="false">
      <c r="B33" s="9" t="s">
        <v>481</v>
      </c>
      <c r="D33" s="66" t="n">
        <f aca="false">D$30+D$32</f>
        <v>25835.5583383127</v>
      </c>
      <c r="E33" s="66" t="n">
        <f aca="false">E$30+E$32</f>
        <v>28802.7879799808</v>
      </c>
      <c r="F33" s="66" t="n">
        <f aca="false">F$30+F$32</f>
        <v>31232.7144532695</v>
      </c>
      <c r="G33" s="66" t="n">
        <f aca="false">G$30+G$32</f>
        <v>33843.7209998795</v>
      </c>
      <c r="H33" s="66" t="n">
        <f aca="false">H$30+H$32</f>
        <v>36454.7275464894</v>
      </c>
      <c r="I33" s="66" t="n">
        <f aca="false">I$30+I$32</f>
        <v>39065.7340930993</v>
      </c>
      <c r="J33" s="67" t="n">
        <f aca="false">J$30+J$32</f>
        <v>31232.7144532695</v>
      </c>
    </row>
    <row r="34" customFormat="false" ht="15" hidden="false" customHeight="false" outlineLevel="0" collapsed="false">
      <c r="B34" s="17" t="s">
        <v>482</v>
      </c>
      <c r="D34" s="41" t="n">
        <f aca="false">D$33/12</f>
        <v>2152.96319485939</v>
      </c>
      <c r="E34" s="41" t="n">
        <f aca="false">E$33/12</f>
        <v>2400.23233166507</v>
      </c>
      <c r="F34" s="41" t="n">
        <f aca="false">F$33/12</f>
        <v>2602.72620443913</v>
      </c>
      <c r="G34" s="41" t="n">
        <f aca="false">G$33/12</f>
        <v>2820.31008332329</v>
      </c>
      <c r="H34" s="41" t="n">
        <f aca="false">H$33/12</f>
        <v>3037.89396220745</v>
      </c>
      <c r="I34" s="41" t="n">
        <f aca="false">I$33/12</f>
        <v>3255.47784109161</v>
      </c>
      <c r="J34" s="41" t="n">
        <f aca="false">J$33/12</f>
        <v>2602.72620443913</v>
      </c>
    </row>
    <row r="35" customFormat="false" ht="15" hidden="false" customHeight="false" outlineLevel="0" collapsed="false">
      <c r="B35" s="9" t="s">
        <v>483</v>
      </c>
      <c r="D35" s="66" t="n">
        <f aca="false">Rt_RevNetMens</f>
        <v>4300</v>
      </c>
      <c r="E35" s="66" t="n">
        <f aca="false">Rt_RevNetMens</f>
        <v>4300</v>
      </c>
      <c r="F35" s="66" t="n">
        <f aca="false">Rt_RevNetMens</f>
        <v>4300</v>
      </c>
      <c r="G35" s="66" t="n">
        <f aca="false">Rt_RevNetMens</f>
        <v>4300</v>
      </c>
      <c r="H35" s="66" t="n">
        <f aca="false">Rt_RevNetMens</f>
        <v>4300</v>
      </c>
      <c r="I35" s="66" t="n">
        <f aca="false">Rt_RevNetMens</f>
        <v>4300</v>
      </c>
      <c r="J35" s="67" t="n">
        <f aca="false">Rt_RevNetMens</f>
        <v>4300</v>
      </c>
    </row>
    <row r="36" customFormat="false" ht="15" hidden="false" customHeight="false" outlineLevel="0" collapsed="false">
      <c r="B36" s="17" t="s">
        <v>484</v>
      </c>
      <c r="D36" s="33" t="n">
        <f aca="false">IF(D$35=0,0,D$34/D$35)</f>
        <v>0.50068911508358</v>
      </c>
      <c r="E36" s="33" t="n">
        <f aca="false">IF(E$35=0,0,E$34/E$35)</f>
        <v>0.558193565503504</v>
      </c>
      <c r="F36" s="33" t="n">
        <f aca="false">IF(F$35=0,0,F$34/F$35)</f>
        <v>0.605285163823053</v>
      </c>
      <c r="G36" s="33" t="n">
        <f aca="false">IF(G$35=0,0,G$34/G$35)</f>
        <v>0.655886065889137</v>
      </c>
      <c r="H36" s="33" t="n">
        <f aca="false">IF(H$35=0,0,H$34/H$35)</f>
        <v>0.706486967955221</v>
      </c>
      <c r="I36" s="33" t="n">
        <f aca="false">IF(I$35=0,0,I$34/I$35)</f>
        <v>0.757087870021305</v>
      </c>
      <c r="J36" s="33" t="n">
        <f aca="false">IF(J$35=0,0,J$34/J$35)</f>
        <v>0.605285163823053</v>
      </c>
    </row>
    <row r="38" customFormat="false" ht="15" hidden="false" customHeight="false" outlineLevel="0" collapsed="false">
      <c r="B38" s="23" t="s">
        <v>485</v>
      </c>
      <c r="D38" s="25" t="str">
        <f aca="false">"—"</f>
        <v>—</v>
      </c>
      <c r="E38" s="31" t="n">
        <f aca="false">E$34-D$34</f>
        <v>247.269136805673</v>
      </c>
      <c r="F38" s="31" t="n">
        <f aca="false">F$34-E$34</f>
        <v>202.493872774058</v>
      </c>
      <c r="G38" s="31" t="n">
        <f aca="false">G$34-F$34</f>
        <v>217.583878884162</v>
      </c>
      <c r="H38" s="31" t="n">
        <f aca="false">H$34-G$34</f>
        <v>217.583878884161</v>
      </c>
      <c r="I38" s="31" t="n">
        <f aca="false">I$34-H$34</f>
        <v>217.583878884161</v>
      </c>
    </row>
    <row r="40" customFormat="false" ht="15" hidden="false" customHeight="false" outlineLevel="0" collapsed="false">
      <c r="B40" s="21" t="s">
        <v>486</v>
      </c>
    </row>
    <row r="41" customFormat="false" ht="15" hidden="false" customHeight="false" outlineLevel="0" collapsed="false">
      <c r="B41" s="21" t="s">
        <v>487</v>
      </c>
    </row>
    <row r="42" customFormat="false" ht="15" hidden="false" customHeight="false" outlineLevel="0" collapsed="false">
      <c r="B42" s="21" t="s">
        <v>488</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4D"/>
    <pageSetUpPr fitToPage="true"/>
  </sheetPr>
  <dimension ref="A1:K72"/>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6"/>
    <col collapsed="false" customWidth="true" hidden="false" outlineLevel="0" max="3" min="3" style="0" width="18"/>
    <col collapsed="false" customWidth="true" hidden="false" outlineLevel="0" max="9" min="4" style="0" width="16"/>
    <col collapsed="false" customWidth="true" hidden="false" outlineLevel="0" max="10" min="10" style="0" width="4"/>
    <col collapsed="false" customWidth="true" hidden="false" outlineLevel="0" max="11" min="11" style="0" width="62"/>
  </cols>
  <sheetData>
    <row r="1" customFormat="false" ht="30" hidden="false" customHeight="true" outlineLevel="0" collapsed="false">
      <c r="A1" s="1" t="s">
        <v>489</v>
      </c>
      <c r="B1" s="2"/>
      <c r="C1" s="2"/>
      <c r="D1" s="2"/>
      <c r="E1" s="2"/>
      <c r="F1" s="2"/>
      <c r="G1" s="2"/>
      <c r="H1" s="2"/>
      <c r="I1" s="2"/>
    </row>
    <row r="2" customFormat="false" ht="13.5" hidden="false" customHeight="true" outlineLevel="0" collapsed="false">
      <c r="A2" s="3" t="s">
        <v>490</v>
      </c>
    </row>
    <row r="4" customFormat="false" ht="19.5" hidden="false" customHeight="true" outlineLevel="0" collapsed="false">
      <c r="A4" s="4" t="s">
        <v>491</v>
      </c>
      <c r="B4" s="5"/>
      <c r="C4" s="5"/>
      <c r="D4" s="5"/>
      <c r="E4" s="5"/>
      <c r="F4" s="5"/>
      <c r="G4" s="5"/>
      <c r="H4" s="5"/>
      <c r="I4" s="5"/>
    </row>
    <row r="5" customFormat="false" ht="15" hidden="false" customHeight="false" outlineLevel="0" collapsed="false">
      <c r="B5" s="9" t="s">
        <v>492</v>
      </c>
      <c r="C5" s="8" t="s">
        <v>493</v>
      </c>
    </row>
    <row r="6" customFormat="false" ht="15" hidden="false" customHeight="false" outlineLevel="0" collapsed="false">
      <c r="B6" s="9" t="s">
        <v>494</v>
      </c>
      <c r="C6" s="29" t="n">
        <v>3800</v>
      </c>
    </row>
    <row r="7" customFormat="false" ht="15" hidden="false" customHeight="false" outlineLevel="0" collapsed="false">
      <c r="B7" s="9" t="s">
        <v>495</v>
      </c>
      <c r="C7" s="37" t="n">
        <v>0.75</v>
      </c>
    </row>
    <row r="8" customFormat="false" ht="15" hidden="false" customHeight="false" outlineLevel="0" collapsed="false">
      <c r="B8" s="17" t="s">
        <v>496</v>
      </c>
      <c r="C8" s="41" t="n">
        <f aca="false">IF(Ob_Mode="Montant mensuel",Ob_Montant,Ob_Pct*Rt_RevNetMens)</f>
        <v>3800</v>
      </c>
    </row>
    <row r="10" customFormat="false" ht="19.5" hidden="false" customHeight="true" outlineLevel="0" collapsed="false">
      <c r="A10" s="4" t="s">
        <v>497</v>
      </c>
      <c r="B10" s="5"/>
      <c r="C10" s="5"/>
      <c r="D10" s="5"/>
      <c r="E10" s="5"/>
      <c r="F10" s="5"/>
      <c r="G10" s="5"/>
      <c r="H10" s="5"/>
      <c r="I10" s="5"/>
    </row>
    <row r="11" customFormat="false" ht="15" hidden="false" customHeight="false" outlineLevel="0" collapsed="false">
      <c r="B11" s="9" t="s">
        <v>498</v>
      </c>
      <c r="C11" s="44" t="n">
        <f aca="false">Rt_PensionNetteMens</f>
        <v>2602.72620443913</v>
      </c>
    </row>
    <row r="12" customFormat="false" ht="15" hidden="false" customHeight="false" outlineLevel="0" collapsed="false">
      <c r="B12" s="9" t="s">
        <v>499</v>
      </c>
      <c r="C12" s="29" t="n">
        <v>400</v>
      </c>
    </row>
    <row r="13" customFormat="false" ht="15" hidden="false" customHeight="false" outlineLevel="0" collapsed="false">
      <c r="B13" s="17" t="s">
        <v>500</v>
      </c>
      <c r="C13" s="70" t="n">
        <f aca="false">Rt_PensionNetteMens+Ob_AutresRevenus</f>
        <v>3002.72620443913</v>
      </c>
    </row>
    <row r="14" customFormat="false" ht="15" hidden="false" customHeight="false" outlineLevel="0" collapsed="false">
      <c r="B14" s="17" t="s">
        <v>501</v>
      </c>
      <c r="C14" s="41" t="n">
        <f aca="false">MAX(0,Ob_Objectif-Ob_Ressources)</f>
        <v>797.273795560874</v>
      </c>
    </row>
    <row r="15" customFormat="false" ht="15" hidden="false" customHeight="false" outlineLevel="0" collapsed="false">
      <c r="B15" s="23" t="s">
        <v>502</v>
      </c>
      <c r="C15" s="31" t="n">
        <f aca="false">Ob_EcartMens*12</f>
        <v>9567.28554673049</v>
      </c>
    </row>
    <row r="16" customFormat="false" ht="15" hidden="false" customHeight="false" outlineLevel="0" collapsed="false">
      <c r="B16" s="23" t="s">
        <v>503</v>
      </c>
      <c r="C16" s="32" t="n">
        <f aca="false">IF(Rt_RevNetMens=0,0,Ob_Ressources/Rt_RevNetMens)</f>
        <v>0.698308419637006</v>
      </c>
    </row>
    <row r="18" customFormat="false" ht="19.5" hidden="false" customHeight="true" outlineLevel="0" collapsed="false">
      <c r="A18" s="4" t="s">
        <v>504</v>
      </c>
      <c r="B18" s="5"/>
      <c r="C18" s="5"/>
      <c r="D18" s="5"/>
      <c r="E18" s="5"/>
      <c r="F18" s="5"/>
      <c r="G18" s="5"/>
      <c r="H18" s="5"/>
      <c r="I18" s="5"/>
    </row>
    <row r="19" customFormat="false" ht="15" hidden="false" customHeight="false" outlineLevel="0" collapsed="false">
      <c r="B19" s="9" t="s">
        <v>505</v>
      </c>
      <c r="C19" s="8" t="s">
        <v>506</v>
      </c>
      <c r="K19" s="21" t="s">
        <v>507</v>
      </c>
    </row>
    <row r="20" customFormat="false" ht="15" hidden="false" customHeight="false" outlineLevel="0" collapsed="false">
      <c r="B20" s="23" t="s">
        <v>508</v>
      </c>
      <c r="C20" s="71" t="n">
        <f aca="false">Rt_AgeDepart</f>
        <v>64</v>
      </c>
    </row>
    <row r="21" customFormat="false" ht="15" hidden="false" customHeight="false" outlineLevel="0" collapsed="false">
      <c r="B21" s="23" t="s">
        <v>509</v>
      </c>
      <c r="C21" s="45" t="n">
        <f aca="false">EsperanceVie</f>
        <v>92</v>
      </c>
    </row>
    <row r="22" customFormat="false" ht="15" hidden="false" customHeight="false" outlineLevel="0" collapsed="false">
      <c r="B22" s="23" t="s">
        <v>510</v>
      </c>
      <c r="C22" s="71" t="n">
        <f aca="false">MAX(0,EsperanceVie-Rt_AgeDepart)</f>
        <v>28</v>
      </c>
    </row>
    <row r="23" customFormat="false" ht="15" hidden="false" customHeight="false" outlineLevel="0" collapsed="false">
      <c r="B23" s="23" t="s">
        <v>511</v>
      </c>
      <c r="C23" s="72" t="n">
        <f aca="false">(1+RendRestit)/(1+Inflation)-1</f>
        <v>0.00490196078431371</v>
      </c>
    </row>
    <row r="24" customFormat="false" ht="15" hidden="false" customHeight="false" outlineLevel="0" collapsed="false">
      <c r="B24" s="17" t="s">
        <v>512</v>
      </c>
      <c r="C24" s="41" t="n">
        <f aca="false">IF(Ob_EcartAn=0,0,IF(Ob_Methode="Rente viagère",IF(TauxRente=0,0,Ob_EcartAn/TauxRente),IF(Ob_Methode="Capital préservé",IF(Ob_TauxReelRestit&lt;=0,Ob_EcartAn*Ob_DureeRestit,Ob_EcartAn/Ob_TauxReelRestit),IF(ABS(Ob_TauxReelRestit)&lt;0.000001,Ob_EcartAn*Ob_DureeRestit,Ob_EcartAn*(1-(1+Ob_TauxReelRestit)^-Ob_DureeRestit)/Ob_TauxReelRestit))))</f>
        <v>249742.216601992</v>
      </c>
    </row>
    <row r="26" customFormat="false" ht="19.5" hidden="false" customHeight="true" outlineLevel="0" collapsed="false">
      <c r="A26" s="4" t="s">
        <v>513</v>
      </c>
      <c r="B26" s="5"/>
      <c r="C26" s="5"/>
      <c r="D26" s="5"/>
      <c r="E26" s="5"/>
      <c r="F26" s="5"/>
      <c r="G26" s="5"/>
      <c r="H26" s="5"/>
      <c r="I26" s="5"/>
    </row>
    <row r="27" customFormat="false" ht="15" hidden="false" customHeight="false" outlineLevel="0" collapsed="false">
      <c r="B27" s="9" t="s">
        <v>514</v>
      </c>
      <c r="C27" s="29" t="n">
        <v>118000</v>
      </c>
      <c r="K27" s="21" t="s">
        <v>515</v>
      </c>
    </row>
    <row r="28" customFormat="false" ht="15" hidden="false" customHeight="false" outlineLevel="0" collapsed="false">
      <c r="B28" s="9" t="s">
        <v>516</v>
      </c>
      <c r="C28" s="29" t="n">
        <v>150</v>
      </c>
    </row>
    <row r="29" customFormat="false" ht="15" hidden="false" customHeight="false" outlineLevel="0" collapsed="false">
      <c r="B29" s="23" t="s">
        <v>517</v>
      </c>
      <c r="C29" s="60" t="n">
        <f aca="false">MAX(0,Rt_AgeDepart-Rt_AgeActuel)</f>
        <v>6</v>
      </c>
    </row>
    <row r="30" customFormat="false" ht="15" hidden="false" customHeight="false" outlineLevel="0" collapsed="false">
      <c r="B30" s="23" t="s">
        <v>518</v>
      </c>
      <c r="C30" s="24" t="n">
        <f aca="false">Ob_AnneesRestantes*12</f>
        <v>72</v>
      </c>
    </row>
    <row r="31" customFormat="false" ht="15" hidden="false" customHeight="false" outlineLevel="0" collapsed="false">
      <c r="B31" s="23" t="s">
        <v>519</v>
      </c>
      <c r="C31" s="73" t="n">
        <f aca="false">(1+RendConstit)/(1+Inflation)-1</f>
        <v>0.0196078431372548</v>
      </c>
    </row>
    <row r="32" customFormat="false" ht="15" hidden="false" customHeight="false" outlineLevel="0" collapsed="false">
      <c r="B32" s="23" t="s">
        <v>520</v>
      </c>
      <c r="C32" s="74" t="n">
        <f aca="false">(1+Ob_TauxReelConstit)^(1/12)-1</f>
        <v>0.00161948377116339</v>
      </c>
    </row>
    <row r="33" customFormat="false" ht="15" hidden="false" customHeight="false" outlineLevel="0" collapsed="false">
      <c r="B33" s="17" t="s">
        <v>521</v>
      </c>
      <c r="C33" s="70" t="n">
        <f aca="false">Ob_EpargneActuelle*(1+Ob_TauxMensuel)^Ob_MoisRestants+IF(Ob_MoisRestants=0,0,IF(ABS(Ob_TauxMensuel)&lt;0.0000001,Ob_VersementsActuels*Ob_MoisRestants,Ob_VersementsActuels*((1+Ob_TauxMensuel)^Ob_MoisRestants-1)/Ob_TauxMensuel))</f>
        <v>144025.958339532</v>
      </c>
    </row>
    <row r="34" customFormat="false" ht="15" hidden="false" customHeight="false" outlineLevel="0" collapsed="false">
      <c r="B34" s="17" t="s">
        <v>522</v>
      </c>
      <c r="C34" s="41" t="n">
        <f aca="false">MAX(0,Ob_CapitalNecessaire-Ob_CapitalProjete)</f>
        <v>105716.25826246</v>
      </c>
    </row>
    <row r="36" customFormat="false" ht="19.5" hidden="false" customHeight="true" outlineLevel="0" collapsed="false">
      <c r="A36" s="4" t="s">
        <v>523</v>
      </c>
      <c r="B36" s="5"/>
      <c r="C36" s="5"/>
      <c r="D36" s="5"/>
      <c r="E36" s="5"/>
      <c r="F36" s="5"/>
      <c r="G36" s="5"/>
      <c r="H36" s="5"/>
      <c r="I36" s="5"/>
    </row>
    <row r="37" customFormat="false" ht="15" hidden="false" customHeight="false" outlineLevel="0" collapsed="false">
      <c r="B37" s="17" t="s">
        <v>524</v>
      </c>
      <c r="C37" s="41" t="n">
        <f aca="false">IF(Ob_MoisRestants&lt;=0,0,IF(ABS(Ob_TauxMensuel)&lt;0.0000001,Ob_CapitalManquant/Ob_MoisRestants,Ob_CapitalManquant*Ob_TauxMensuel/((1+Ob_TauxMensuel)^Ob_MoisRestants-1)))</f>
        <v>1385.52895890438</v>
      </c>
    </row>
    <row r="38" customFormat="false" ht="15" hidden="false" customHeight="false" outlineLevel="0" collapsed="false">
      <c r="B38" s="23" t="s">
        <v>525</v>
      </c>
      <c r="C38" s="31" t="n">
        <f aca="false">Ob_EffortMensuel*12</f>
        <v>16626.3475068525</v>
      </c>
    </row>
    <row r="39" customFormat="false" ht="15" hidden="false" customHeight="false" outlineLevel="0" collapsed="false">
      <c r="B39" s="23" t="s">
        <v>526</v>
      </c>
      <c r="C39" s="32" t="n">
        <f aca="false">IF(Rt_RevNetMens=0,0,Ob_EffortMensuel/Rt_RevNetMens)</f>
        <v>0.322216036954507</v>
      </c>
    </row>
    <row r="40" customFormat="false" ht="15" hidden="false" customHeight="false" outlineLevel="0" collapsed="false">
      <c r="B40" s="23" t="s">
        <v>527</v>
      </c>
      <c r="C40" s="31" t="n">
        <f aca="false">Ob_CapitalManquant/(1+Ob_TauxMensuel)^Ob_MoisRestants</f>
        <v>94089.8504014437</v>
      </c>
    </row>
    <row r="41" customFormat="false" ht="45.75" hidden="false" customHeight="true" outlineLevel="0" collapsed="false">
      <c r="B41" s="9" t="s">
        <v>528</v>
      </c>
      <c r="C41" s="13" t="str">
        <f aca="false">IF(Ob_EcartMens=0,"✅ Les ressources estimées couvrent déjà l'objectif : aucun effort d'épargne nécessaire.",IF(Ob_CapitalManquant=0,"✅ Le capital déjà constitué suffit à couvrir l'écart de revenu.",IF(Ob_EffortMensuel&gt;0.25*Rt_RevNetMens,"⚠️ L'effort dépasse 25 % du revenu net actuel : révisez l'objectif, décalez l'âge de départ ou allongez la durée d'épargne.","Effort soutenable au regard du revenu actuel — à confronter à la capacité d'épargne réelle du client.")))</f>
        <v>⚠️ L'effort dépasse 25 % du revenu net actuel : révisez l'objectif, décalez l'âge de départ ou allongez la durée d'épargne.</v>
      </c>
      <c r="D41" s="13"/>
      <c r="E41" s="13"/>
      <c r="F41" s="13"/>
      <c r="G41" s="13"/>
      <c r="H41" s="13"/>
    </row>
    <row r="43" customFormat="false" ht="19.5" hidden="false" customHeight="true" outlineLevel="0" collapsed="false">
      <c r="A43" s="4" t="s">
        <v>529</v>
      </c>
      <c r="B43" s="5"/>
      <c r="C43" s="5"/>
      <c r="D43" s="5"/>
      <c r="E43" s="5"/>
      <c r="F43" s="5"/>
      <c r="G43" s="5"/>
      <c r="H43" s="5"/>
      <c r="I43" s="5"/>
    </row>
    <row r="44" customFormat="false" ht="15" hidden="false" customHeight="false" outlineLevel="0" collapsed="false">
      <c r="B44" s="9" t="s">
        <v>530</v>
      </c>
      <c r="C44" s="75" t="n">
        <f aca="false">TMI</f>
        <v>0.3</v>
      </c>
    </row>
    <row r="45" customFormat="false" ht="15" hidden="false" customHeight="false" outlineLevel="0" collapsed="false">
      <c r="B45" s="23" t="s">
        <v>531</v>
      </c>
      <c r="C45" s="31" t="n">
        <f aca="false">MAX(PER_PlancherPASS*PASS_N1,MIN(PER_Taux*Rt_SalaireBrut,PER_Taux*PER_PlafondPASS*PASS_N1))</f>
        <v>7800</v>
      </c>
    </row>
    <row r="46" customFormat="false" ht="27.75" hidden="false" customHeight="true" outlineLevel="0" collapsed="false">
      <c r="B46" s="14" t="s">
        <v>532</v>
      </c>
      <c r="C46" s="14" t="s">
        <v>533</v>
      </c>
      <c r="D46" s="14" t="s">
        <v>534</v>
      </c>
      <c r="E46" s="14" t="s">
        <v>535</v>
      </c>
      <c r="F46" s="14" t="s">
        <v>536</v>
      </c>
      <c r="G46" s="14"/>
      <c r="H46" s="14" t="s">
        <v>537</v>
      </c>
      <c r="I46" s="14"/>
    </row>
    <row r="47" customFormat="false" ht="54" hidden="false" customHeight="true" outlineLevel="0" collapsed="false">
      <c r="B47" s="76" t="s">
        <v>538</v>
      </c>
      <c r="C47" s="66" t="n">
        <f aca="false">MIN(Ob_EffortAnnuel,Ob_PlafondPER)</f>
        <v>7800</v>
      </c>
      <c r="D47" s="66" t="n">
        <f aca="false">MIN(Ob_EffortAnnuel,Ob_PlafondPER)*TMI</f>
        <v>2340</v>
      </c>
      <c r="E47" s="77" t="n">
        <f aca="false">C47-D47</f>
        <v>5460</v>
      </c>
      <c r="F47" s="78" t="s">
        <v>539</v>
      </c>
      <c r="G47" s="78"/>
      <c r="H47" s="78" t="s">
        <v>540</v>
      </c>
      <c r="I47" s="78"/>
    </row>
    <row r="48" customFormat="false" ht="54" hidden="false" customHeight="true" outlineLevel="0" collapsed="false">
      <c r="B48" s="76" t="s">
        <v>541</v>
      </c>
      <c r="C48" s="66" t="n">
        <f aca="false">Ob_EffortAnnuel</f>
        <v>16626.3475068525</v>
      </c>
      <c r="D48" s="66" t="n">
        <f aca="false">0</f>
        <v>0</v>
      </c>
      <c r="E48" s="77" t="n">
        <f aca="false">C48-D48</f>
        <v>16626.3475068525</v>
      </c>
      <c r="F48" s="78" t="s">
        <v>542</v>
      </c>
      <c r="G48" s="78"/>
      <c r="H48" s="78" t="s">
        <v>543</v>
      </c>
      <c r="I48" s="78"/>
    </row>
    <row r="49" customFormat="false" ht="54" hidden="false" customHeight="true" outlineLevel="0" collapsed="false">
      <c r="B49" s="76" t="s">
        <v>544</v>
      </c>
      <c r="C49" s="66" t="n">
        <f aca="false">Ob_EffortAnnuel</f>
        <v>16626.3475068525</v>
      </c>
      <c r="D49" s="66" t="n">
        <f aca="false">0</f>
        <v>0</v>
      </c>
      <c r="E49" s="77" t="n">
        <f aca="false">C49-D49</f>
        <v>16626.3475068525</v>
      </c>
      <c r="F49" s="78" t="s">
        <v>545</v>
      </c>
      <c r="G49" s="78"/>
      <c r="H49" s="78" t="s">
        <v>546</v>
      </c>
      <c r="I49" s="78"/>
    </row>
    <row r="50" customFormat="false" ht="54" hidden="false" customHeight="true" outlineLevel="0" collapsed="false">
      <c r="B50" s="76" t="s">
        <v>547</v>
      </c>
      <c r="C50" s="66" t="n">
        <f aca="false">Ob_EffortAnnuel</f>
        <v>16626.3475068525</v>
      </c>
      <c r="D50" s="66" t="n">
        <f aca="false">0</f>
        <v>0</v>
      </c>
      <c r="E50" s="77" t="n">
        <f aca="false">C50-D50</f>
        <v>16626.3475068525</v>
      </c>
      <c r="F50" s="78" t="s">
        <v>548</v>
      </c>
      <c r="G50" s="78"/>
      <c r="H50" s="78" t="s">
        <v>549</v>
      </c>
      <c r="I50" s="78"/>
    </row>
    <row r="52" customFormat="false" ht="15" hidden="false" customHeight="false" outlineLevel="0" collapsed="false">
      <c r="B52" s="21" t="s">
        <v>550</v>
      </c>
    </row>
    <row r="54" customFormat="false" ht="19.5" hidden="false" customHeight="true" outlineLevel="0" collapsed="false">
      <c r="A54" s="4" t="s">
        <v>551</v>
      </c>
      <c r="B54" s="5"/>
      <c r="C54" s="5"/>
      <c r="D54" s="5"/>
      <c r="E54" s="5"/>
      <c r="F54" s="5"/>
      <c r="G54" s="5"/>
      <c r="H54" s="5"/>
      <c r="I54" s="5"/>
    </row>
    <row r="55" customFormat="false" ht="15" hidden="false" customHeight="false" outlineLevel="0" collapsed="false">
      <c r="B55" s="57" t="s">
        <v>552</v>
      </c>
    </row>
    <row r="56" customFormat="false" ht="27.75" hidden="false" customHeight="true" outlineLevel="0" collapsed="false">
      <c r="B56" s="14"/>
      <c r="C56" s="14"/>
      <c r="D56" s="14" t="s">
        <v>451</v>
      </c>
      <c r="E56" s="14" t="s">
        <v>452</v>
      </c>
      <c r="F56" s="14" t="s">
        <v>453</v>
      </c>
      <c r="G56" s="14" t="s">
        <v>454</v>
      </c>
      <c r="H56" s="14" t="s">
        <v>455</v>
      </c>
      <c r="I56" s="14" t="s">
        <v>456</v>
      </c>
    </row>
    <row r="57" customFormat="false" ht="15" hidden="false" customHeight="false" outlineLevel="0" collapsed="false">
      <c r="B57" s="23" t="s">
        <v>458</v>
      </c>
      <c r="D57" s="68" t="n">
        <f aca="false">INDEX(Rt_ScenAges,1)</f>
        <v>62</v>
      </c>
      <c r="E57" s="68" t="n">
        <f aca="false">INDEX(Rt_ScenAges,2)</f>
        <v>63</v>
      </c>
      <c r="F57" s="68" t="n">
        <f aca="false">INDEX(Rt_ScenAges,3)</f>
        <v>64</v>
      </c>
      <c r="G57" s="68" t="n">
        <f aca="false">INDEX(Rt_ScenAges,4)</f>
        <v>65</v>
      </c>
      <c r="H57" s="68" t="n">
        <f aca="false">INDEX(Rt_ScenAges,5)</f>
        <v>66</v>
      </c>
      <c r="I57" s="68" t="n">
        <f aca="false">INDEX(Rt_ScenAges,6)</f>
        <v>67</v>
      </c>
    </row>
    <row r="58" customFormat="false" ht="15" hidden="false" customHeight="false" outlineLevel="0" collapsed="false">
      <c r="B58" s="23" t="s">
        <v>460</v>
      </c>
      <c r="D58" s="10" t="str">
        <f aca="false">IF(D$57&lt;Rt_AgeLegal,"NON","Oui")</f>
        <v>NON</v>
      </c>
      <c r="E58" s="10" t="str">
        <f aca="false">IF(E$57&lt;Rt_AgeLegal,"NON","Oui")</f>
        <v>NON</v>
      </c>
      <c r="F58" s="10" t="str">
        <f aca="false">IF(F$57&lt;Rt_AgeLegal,"NON","Oui")</f>
        <v>Oui</v>
      </c>
      <c r="G58" s="10" t="str">
        <f aca="false">IF(G$57&lt;Rt_AgeLegal,"NON","Oui")</f>
        <v>Oui</v>
      </c>
      <c r="H58" s="10" t="str">
        <f aca="false">IF(H$57&lt;Rt_AgeLegal,"NON","Oui")</f>
        <v>Oui</v>
      </c>
      <c r="I58" s="10" t="str">
        <f aca="false">IF(I$57&lt;Rt_AgeLegal,"NON","Oui")</f>
        <v>Oui</v>
      </c>
    </row>
    <row r="59" customFormat="false" ht="15" hidden="false" customHeight="false" outlineLevel="0" collapsed="false">
      <c r="B59" s="23" t="s">
        <v>553</v>
      </c>
      <c r="D59" s="66" t="n">
        <f aca="false">INDEX(Rt_ScenPensionNetteMens,1)</f>
        <v>2152.96319485939</v>
      </c>
      <c r="E59" s="66" t="n">
        <f aca="false">INDEX(Rt_ScenPensionNetteMens,2)</f>
        <v>2400.23233166507</v>
      </c>
      <c r="F59" s="66" t="n">
        <f aca="false">INDEX(Rt_ScenPensionNetteMens,3)</f>
        <v>2602.72620443913</v>
      </c>
      <c r="G59" s="66" t="n">
        <f aca="false">INDEX(Rt_ScenPensionNetteMens,4)</f>
        <v>2820.31008332329</v>
      </c>
      <c r="H59" s="66" t="n">
        <f aca="false">INDEX(Rt_ScenPensionNetteMens,5)</f>
        <v>3037.89396220745</v>
      </c>
      <c r="I59" s="66" t="n">
        <f aca="false">INDEX(Rt_ScenPensionNetteMens,6)</f>
        <v>3255.47784109161</v>
      </c>
    </row>
    <row r="60" customFormat="false" ht="15" hidden="false" customHeight="false" outlineLevel="0" collapsed="false">
      <c r="B60" s="23" t="s">
        <v>554</v>
      </c>
      <c r="D60" s="66" t="n">
        <f aca="false">MAX(0,Ob_Objectif-D$59-Ob_AutresRevenus)</f>
        <v>1247.03680514061</v>
      </c>
      <c r="E60" s="66" t="n">
        <f aca="false">MAX(0,Ob_Objectif-E$59-Ob_AutresRevenus)</f>
        <v>999.767668334932</v>
      </c>
      <c r="F60" s="66" t="n">
        <f aca="false">MAX(0,Ob_Objectif-F$59-Ob_AutresRevenus)</f>
        <v>797.273795560874</v>
      </c>
      <c r="G60" s="66" t="n">
        <f aca="false">MAX(0,Ob_Objectif-G$59-Ob_AutresRevenus)</f>
        <v>579.689916676713</v>
      </c>
      <c r="H60" s="66" t="n">
        <f aca="false">MAX(0,Ob_Objectif-H$59-Ob_AutresRevenus)</f>
        <v>362.106037792551</v>
      </c>
      <c r="I60" s="66" t="n">
        <f aca="false">MAX(0,Ob_Objectif-I$59-Ob_AutresRevenus)</f>
        <v>144.522158908391</v>
      </c>
    </row>
    <row r="61" customFormat="false" ht="15" hidden="false" customHeight="false" outlineLevel="0" collapsed="false">
      <c r="B61" s="23" t="s">
        <v>555</v>
      </c>
      <c r="D61" s="68" t="n">
        <f aca="false">MAX(0,EsperanceVie-D$57)</f>
        <v>30</v>
      </c>
      <c r="E61" s="68" t="n">
        <f aca="false">MAX(0,EsperanceVie-E$57)</f>
        <v>29</v>
      </c>
      <c r="F61" s="68" t="n">
        <f aca="false">MAX(0,EsperanceVie-F$57)</f>
        <v>28</v>
      </c>
      <c r="G61" s="68" t="n">
        <f aca="false">MAX(0,EsperanceVie-G$57)</f>
        <v>27</v>
      </c>
      <c r="H61" s="68" t="n">
        <f aca="false">MAX(0,EsperanceVie-H$57)</f>
        <v>26</v>
      </c>
      <c r="I61" s="68" t="n">
        <f aca="false">MAX(0,EsperanceVie-I$57)</f>
        <v>25</v>
      </c>
    </row>
    <row r="62" customFormat="false" ht="15" hidden="false" customHeight="false" outlineLevel="0" collapsed="false">
      <c r="B62" s="23" t="s">
        <v>556</v>
      </c>
      <c r="D62" s="66" t="n">
        <f aca="false">IF(D$60=0,0,IF(ABS(Ob_TauxReelRestit)&lt;0.000001,D$60*12*D$61,D$60*12*(1-(1+Ob_TauxReelRestit)^-D$61)/Ob_TauxReelRestit))</f>
        <v>416536.870320424</v>
      </c>
      <c r="E62" s="66" t="n">
        <f aca="false">IF(E$60=0,0,IF(ABS(Ob_TauxReelRestit)&lt;0.000001,E$60*12*E$61,E$60*12*(1-(1+Ob_TauxReelRestit)^-E$61)/Ob_TauxReelRestit))</f>
        <v>323583.475661705</v>
      </c>
      <c r="F62" s="66" t="n">
        <f aca="false">IF(F$60=0,0,IF(ABS(Ob_TauxReelRestit)&lt;0.000001,F$60*12*F$61,F$60*12*(1-(1+Ob_TauxReelRestit)^-F$61)/Ob_TauxReelRestit))</f>
        <v>249742.216601992</v>
      </c>
      <c r="G62" s="66" t="n">
        <f aca="false">IF(G$60=0,0,IF(ABS(Ob_TauxReelRestit)&lt;0.000001,G$60*12*G$61,G$60*12*(1-(1+Ob_TauxReelRestit)^-G$61)/Ob_TauxReelRestit))</f>
        <v>175518.947616635</v>
      </c>
      <c r="H62" s="66" t="n">
        <f aca="false">IF(H$60=0,0,IF(ABS(Ob_TauxReelRestit)&lt;0.000001,H$60*12*H$61,H$60*12*(1-(1+Ob_TauxReelRestit)^-H$61)/Ob_TauxReelRestit))</f>
        <v>105830.909964812</v>
      </c>
      <c r="I62" s="66" t="n">
        <f aca="false">IF(I$60=0,0,IF(ABS(Ob_TauxReelRestit)&lt;0.000001,I$60*12*I$61,I$60*12*(1-(1+Ob_TauxReelRestit)^-I$61)/Ob_TauxReelRestit))</f>
        <v>40711.5511743386</v>
      </c>
    </row>
    <row r="63" customFormat="false" ht="15" hidden="false" customHeight="false" outlineLevel="0" collapsed="false">
      <c r="B63" s="23" t="s">
        <v>557</v>
      </c>
      <c r="D63" s="26" t="n">
        <f aca="false">MAX(0,(D$57-Rt_AgeActuel)*12)</f>
        <v>48</v>
      </c>
      <c r="E63" s="26" t="n">
        <f aca="false">MAX(0,(E$57-Rt_AgeActuel)*12)</f>
        <v>60</v>
      </c>
      <c r="F63" s="26" t="n">
        <f aca="false">MAX(0,(F$57-Rt_AgeActuel)*12)</f>
        <v>72</v>
      </c>
      <c r="G63" s="26" t="n">
        <f aca="false">MAX(0,(G$57-Rt_AgeActuel)*12)</f>
        <v>84</v>
      </c>
      <c r="H63" s="26" t="n">
        <f aca="false">MAX(0,(H$57-Rt_AgeActuel)*12)</f>
        <v>96</v>
      </c>
      <c r="I63" s="26" t="n">
        <f aca="false">MAX(0,(I$57-Rt_AgeActuel)*12)</f>
        <v>108</v>
      </c>
    </row>
    <row r="64" customFormat="false" ht="15" hidden="false" customHeight="false" outlineLevel="0" collapsed="false">
      <c r="B64" s="23" t="s">
        <v>558</v>
      </c>
      <c r="D64" s="66" t="n">
        <f aca="false">Ob_EpargneActuelle*(1+Ob_TauxMensuel)^D$63+IF(D$63=0,0,Ob_VersementsActuels*((1+Ob_TauxMensuel)^D$63-1)/Ob_TauxMensuel)</f>
        <v>135011.627427983</v>
      </c>
      <c r="E64" s="66" t="n">
        <f aca="false">Ob_EpargneActuelle*(1+Ob_TauxMensuel)^E$63+IF(E$63=0,0,Ob_VersementsActuels*((1+Ob_TauxMensuel)^E$63-1)/Ob_TauxMensuel)</f>
        <v>139475.033995838</v>
      </c>
      <c r="F64" s="66" t="n">
        <f aca="false">Ob_EpargneActuelle*(1+Ob_TauxMensuel)^F$63+IF(F$63=0,0,Ob_VersementsActuels*((1+Ob_TauxMensuel)^F$63-1)/Ob_TauxMensuel)</f>
        <v>144025.958339532</v>
      </c>
      <c r="G64" s="66" t="n">
        <f aca="false">Ob_EpargneActuelle*(1+Ob_TauxMensuel)^G$63+IF(G$63=0,0,Ob_VersementsActuels*((1+Ob_TauxMensuel)^G$63-1)/Ob_TauxMensuel)</f>
        <v>148666.116493888</v>
      </c>
      <c r="H64" s="66" t="n">
        <f aca="false">Ob_EpargneActuelle*(1+Ob_TauxMensuel)^H$63+IF(H$63=0,0,Ob_VersementsActuels*((1+Ob_TauxMensuel)^H$63-1)/Ob_TauxMensuel)</f>
        <v>153397.258141466</v>
      </c>
      <c r="I64" s="66" t="n">
        <f aca="false">Ob_EpargneActuelle*(1+Ob_TauxMensuel)^I$63+IF(I$63=0,0,Ob_VersementsActuels*((1+Ob_TauxMensuel)^I$63-1)/Ob_TauxMensuel)</f>
        <v>158221.16727233</v>
      </c>
    </row>
    <row r="65" customFormat="false" ht="15" hidden="false" customHeight="false" outlineLevel="0" collapsed="false">
      <c r="B65" s="23" t="s">
        <v>559</v>
      </c>
      <c r="D65" s="66" t="n">
        <f aca="false">MAX(0,D$62-D$64)</f>
        <v>281525.24289244</v>
      </c>
      <c r="E65" s="66" t="n">
        <f aca="false">MAX(0,E$62-E$64)</f>
        <v>184108.441665867</v>
      </c>
      <c r="F65" s="66" t="n">
        <f aca="false">MAX(0,F$62-F$64)</f>
        <v>105716.25826246</v>
      </c>
      <c r="G65" s="66" t="n">
        <f aca="false">MAX(0,G$62-G$64)</f>
        <v>26852.8311227475</v>
      </c>
      <c r="H65" s="66" t="n">
        <f aca="false">MAX(0,H$62-H$64)</f>
        <v>0</v>
      </c>
      <c r="I65" s="66" t="n">
        <f aca="false">MAX(0,I$62-I$64)</f>
        <v>0</v>
      </c>
    </row>
    <row r="66" customFormat="false" ht="15" hidden="false" customHeight="false" outlineLevel="0" collapsed="false">
      <c r="B66" s="17" t="s">
        <v>560</v>
      </c>
      <c r="D66" s="41" t="n">
        <f aca="false">IF(D$63&lt;=0,0,D$65*Ob_TauxMensuel/((1+Ob_TauxMensuel)^D$63-1))</f>
        <v>5644.84516021591</v>
      </c>
      <c r="E66" s="41" t="n">
        <f aca="false">IF(E$63&lt;=0,0,E$65*Ob_TauxMensuel/((1+Ob_TauxMensuel)^E$63-1))</f>
        <v>2924.28971263439</v>
      </c>
      <c r="F66" s="41" t="n">
        <f aca="false">IF(F$63&lt;=0,0,F$65*Ob_TauxMensuel/((1+Ob_TauxMensuel)^F$63-1))</f>
        <v>1385.52895890438</v>
      </c>
      <c r="G66" s="41" t="n">
        <f aca="false">IF(G$63&lt;=0,0,G$65*Ob_TauxMensuel/((1+Ob_TauxMensuel)^G$63-1))</f>
        <v>298.683927825725</v>
      </c>
      <c r="H66" s="41" t="n">
        <f aca="false">IF(H$63&lt;=0,0,H$65*Ob_TauxMensuel/((1+Ob_TauxMensuel)^H$63-1))</f>
        <v>0</v>
      </c>
      <c r="I66" s="41" t="n">
        <f aca="false">IF(I$63&lt;=0,0,I$65*Ob_TauxMensuel/((1+Ob_TauxMensuel)^I$63-1))</f>
        <v>0</v>
      </c>
    </row>
    <row r="68" customFormat="false" ht="19.5" hidden="false" customHeight="true" outlineLevel="0" collapsed="false">
      <c r="A68" s="4" t="s">
        <v>561</v>
      </c>
      <c r="B68" s="5"/>
      <c r="C68" s="5"/>
      <c r="D68" s="5"/>
      <c r="E68" s="5"/>
      <c r="F68" s="5"/>
      <c r="G68" s="5"/>
      <c r="H68" s="5"/>
      <c r="I68" s="5"/>
    </row>
    <row r="69" customFormat="false" ht="27.75" hidden="false" customHeight="true" outlineLevel="0" collapsed="false">
      <c r="B69" s="14" t="s">
        <v>562</v>
      </c>
      <c r="C69" s="14"/>
      <c r="D69" s="14" t="s">
        <v>563</v>
      </c>
      <c r="E69" s="14" t="s">
        <v>564</v>
      </c>
      <c r="F69" s="14" t="s">
        <v>565</v>
      </c>
      <c r="G69" s="14" t="s">
        <v>566</v>
      </c>
      <c r="H69" s="14" t="s">
        <v>567</v>
      </c>
      <c r="I69" s="14" t="s">
        <v>568</v>
      </c>
    </row>
    <row r="70" customFormat="false" ht="15" hidden="false" customHeight="false" outlineLevel="0" collapsed="false">
      <c r="B70" s="17" t="s">
        <v>569</v>
      </c>
      <c r="D70" s="41" t="n">
        <f aca="false">IF(Ob_MoisRestants&lt;=0,0,MAX(0,Ob_CapitalNecessaire-Ob_EpargneActuelle*(1+((1+0.0000001)^(1/12)-1))^Ob_MoisRestants-Ob_VersementsActuels*((1+((1+0.0000001)^(1/12)-1))^Ob_MoisRestants-1)/((1+0.0000001)^(1/12)-1))*((1+0.0000001)^(1/12)-1)/((1+((1+0.0000001)^(1/12)-1))^Ob_MoisRestants-1))</f>
        <v>1679.75148398928</v>
      </c>
      <c r="E70" s="41" t="n">
        <f aca="false">IF(Ob_MoisRestants&lt;=0,0,MAX(0,Ob_CapitalNecessaire-Ob_EpargneActuelle*(1+((1+0.01)^(1/12)-1))^Ob_MoisRestants-Ob_VersementsActuels*((1+((1+0.01)^(1/12)-1))^Ob_MoisRestants-1)/((1+0.01)^(1/12)-1))*((1+0.01)^(1/12)-1)/((1+((1+0.01)^(1/12)-1))^Ob_MoisRestants-1))</f>
        <v>1528.52741554761</v>
      </c>
      <c r="F70" s="41" t="n">
        <f aca="false">IF(Ob_MoisRestants&lt;=0,0,MAX(0,Ob_CapitalNecessaire-Ob_EpargneActuelle*(1+((1+0.02)^(1/12)-1))^Ob_MoisRestants-Ob_VersementsActuels*((1+((1+0.02)^(1/12)-1))^Ob_MoisRestants-1)/((1+0.02)^(1/12)-1))*((1+0.02)^(1/12)-1)/((1+((1+0.02)^(1/12)-1))^Ob_MoisRestants-1))</f>
        <v>1379.73935190214</v>
      </c>
      <c r="G70" s="41" t="n">
        <f aca="false">IF(Ob_MoisRestants&lt;=0,0,MAX(0,Ob_CapitalNecessaire-Ob_EpargneActuelle*(1+((1+0.03)^(1/12)-1))^Ob_MoisRestants-Ob_VersementsActuels*((1+((1+0.03)^(1/12)-1))^Ob_MoisRestants-1)/((1+0.03)^(1/12)-1))*((1+0.03)^(1/12)-1)/((1+((1+0.03)^(1/12)-1))^Ob_MoisRestants-1))</f>
        <v>1233.33214493512</v>
      </c>
      <c r="H70" s="41" t="n">
        <f aca="false">IF(Ob_MoisRestants&lt;=0,0,MAX(0,Ob_CapitalNecessaire-Ob_EpargneActuelle*(1+((1+0.04)^(1/12)-1))^Ob_MoisRestants-Ob_VersementsActuels*((1+((1+0.04)^(1/12)-1))^Ob_MoisRestants-1)/((1+0.04)^(1/12)-1))*((1+0.04)^(1/12)-1)/((1+((1+0.04)^(1/12)-1))^Ob_MoisRestants-1))</f>
        <v>1089.2502320473</v>
      </c>
      <c r="I70" s="41" t="n">
        <f aca="false">IF(Ob_MoisRestants&lt;=0,0,MAX(0,Ob_CapitalNecessaire-Ob_EpargneActuelle*(1+((1+0.05)^(1/12)-1))^Ob_MoisRestants-Ob_VersementsActuels*((1+((1+0.05)^(1/12)-1))^Ob_MoisRestants-1)/((1+0.05)^(1/12)-1))*((1+0.05)^(1/12)-1)/((1+((1+0.05)^(1/12)-1))^Ob_MoisRestants-1))</f>
        <v>947.439156164837</v>
      </c>
    </row>
    <row r="72" customFormat="false" ht="15" hidden="false" customHeight="false" outlineLevel="0" collapsed="false">
      <c r="B72" s="21" t="s">
        <v>570</v>
      </c>
    </row>
  </sheetData>
  <mergeCells count="11">
    <mergeCell ref="C41:H41"/>
    <mergeCell ref="F46:G46"/>
    <mergeCell ref="H46:I46"/>
    <mergeCell ref="F47:G47"/>
    <mergeCell ref="H47:I47"/>
    <mergeCell ref="F48:G48"/>
    <mergeCell ref="H48:I48"/>
    <mergeCell ref="F49:G49"/>
    <mergeCell ref="H49:I49"/>
    <mergeCell ref="F50:G50"/>
    <mergeCell ref="H50:I50"/>
  </mergeCells>
  <dataValidations count="2">
    <dataValidation allowBlank="true" error="Choisissez une valeur dans la liste déroulante." errorStyle="stop" errorTitle="Valeur non autorisée" operator="between" showDropDown="false" showErrorMessage="false" showInputMessage="false" sqref="C5" type="list">
      <formula1>"Montant mensuel,% du revenu net actuel"</formula1>
      <formula2>0</formula2>
    </dataValidation>
    <dataValidation allowBlank="true" error="Choisissez une valeur dans la liste déroulante." errorStyle="stop" errorTitle="Valeur non autorisée" operator="between" showDropDown="false" showErrorMessage="false" showInputMessage="false" sqref="C19" type="list">
      <formula1>"Consommation du capital,Rente viagère,Capital préservé"</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4" min="3" style="0" width="22"/>
    <col collapsed="false" customWidth="true" hidden="false" outlineLevel="0" max="5" min="5" style="0" width="4"/>
    <col collapsed="false" customWidth="true" hidden="false" outlineLevel="0" max="6" min="6" style="0" width="88"/>
  </cols>
  <sheetData>
    <row r="1" customFormat="false" ht="30" hidden="false" customHeight="true" outlineLevel="0" collapsed="false">
      <c r="A1" s="1" t="s">
        <v>571</v>
      </c>
      <c r="B1" s="2"/>
      <c r="C1" s="2"/>
      <c r="D1" s="2"/>
      <c r="E1" s="2"/>
      <c r="F1" s="2"/>
    </row>
    <row r="2" customFormat="false" ht="13.5" hidden="false" customHeight="true" outlineLevel="0" collapsed="false">
      <c r="A2" s="3" t="s">
        <v>572</v>
      </c>
    </row>
    <row r="4" customFormat="false" ht="19.5" hidden="false" customHeight="true" outlineLevel="0" collapsed="false">
      <c r="A4" s="4" t="s">
        <v>573</v>
      </c>
      <c r="B4" s="5"/>
      <c r="C4" s="5"/>
      <c r="D4" s="5"/>
      <c r="E4" s="5"/>
      <c r="F4" s="5"/>
    </row>
    <row r="5" customFormat="false" ht="15" hidden="false" customHeight="false" outlineLevel="0" collapsed="false">
      <c r="B5" s="9" t="s">
        <v>184</v>
      </c>
      <c r="C5" s="43" t="str">
        <f aca="false">NomClient</f>
        <v>Jean MARTIN</v>
      </c>
    </row>
    <row r="6" customFormat="false" ht="15" hidden="false" customHeight="false" outlineLevel="0" collapsed="false">
      <c r="B6" s="9" t="s">
        <v>574</v>
      </c>
      <c r="C6" s="43" t="str">
        <f aca="false">NomConjoint</f>
        <v>Sophie MARTIN</v>
      </c>
    </row>
    <row r="7" customFormat="false" ht="15" hidden="false" customHeight="false" outlineLevel="0" collapsed="false">
      <c r="B7" s="9" t="s">
        <v>575</v>
      </c>
      <c r="C7" s="43" t="str">
        <f aca="false">SitMat&amp;" — "&amp;RegimeMat</f>
        <v>Marié(e) — Communauté légale (réduite aux acquêts)</v>
      </c>
    </row>
    <row r="8" customFormat="false" ht="15" hidden="false" customHeight="false" outlineLevel="0" collapsed="false">
      <c r="B8" s="9" t="s">
        <v>576</v>
      </c>
      <c r="C8" s="45" t="n">
        <f aca="false">NbEnfCommuns+NbEnfPropClient+NbEnfPropConjoint</f>
        <v>3</v>
      </c>
    </row>
    <row r="9" customFormat="false" ht="15" hidden="false" customHeight="false" outlineLevel="0" collapsed="false">
      <c r="B9" s="9" t="s">
        <v>577</v>
      </c>
      <c r="C9" s="44" t="n">
        <f aca="false">PatrimoineNetGlobal</f>
        <v>1888000</v>
      </c>
    </row>
    <row r="10" customFormat="false" ht="15" hidden="false" customHeight="false" outlineLevel="0" collapsed="false">
      <c r="B10" s="9" t="s">
        <v>578</v>
      </c>
      <c r="C10" s="75" t="n">
        <f aca="false">TMI</f>
        <v>0.3</v>
      </c>
    </row>
    <row r="12" customFormat="false" ht="19.5" hidden="false" customHeight="true" outlineLevel="0" collapsed="false">
      <c r="A12" s="4" t="s">
        <v>579</v>
      </c>
      <c r="B12" s="5"/>
      <c r="C12" s="5"/>
      <c r="D12" s="5"/>
      <c r="E12" s="5"/>
      <c r="F12" s="5"/>
    </row>
    <row r="13" customFormat="false" ht="15" hidden="false" customHeight="false" outlineLevel="0" collapsed="false">
      <c r="B13" s="9" t="s">
        <v>580</v>
      </c>
      <c r="C13" s="79" t="str">
        <f aca="false">NomDefunt</f>
        <v>Jean MARTIN</v>
      </c>
    </row>
    <row r="14" customFormat="false" ht="15" hidden="false" customHeight="false" outlineLevel="0" collapsed="false">
      <c r="B14" s="9" t="s">
        <v>581</v>
      </c>
      <c r="C14" s="79" t="str">
        <f aca="false">IF(NbEnfDefunt&gt;0,"Descendants","Sans descendant")&amp;" — option : "&amp;OptionConjoint</f>
        <v>Descendants — option : 1/4 en pleine propriété (option légale)</v>
      </c>
    </row>
    <row r="15" customFormat="false" ht="15" hidden="false" customHeight="false" outlineLevel="0" collapsed="false">
      <c r="B15" s="9" t="s">
        <v>582</v>
      </c>
      <c r="C15" s="80" t="n">
        <f aca="false">MasseCivile</f>
        <v>954000</v>
      </c>
    </row>
    <row r="16" customFormat="false" ht="15" hidden="false" customHeight="false" outlineLevel="0" collapsed="false">
      <c r="B16" s="9" t="s">
        <v>583</v>
      </c>
      <c r="C16" s="80" t="n">
        <f aca="false">AV_CapitalTotal</f>
        <v>520000</v>
      </c>
    </row>
    <row r="17" customFormat="false" ht="15" hidden="false" customHeight="false" outlineLevel="0" collapsed="false">
      <c r="B17" s="9" t="s">
        <v>584</v>
      </c>
      <c r="C17" s="80" t="n">
        <f aca="false">INDEX(HerValeur,1)</f>
        <v>238500</v>
      </c>
    </row>
    <row r="18" customFormat="false" ht="15" hidden="false" customHeight="false" outlineLevel="0" collapsed="false">
      <c r="B18" s="9" t="s">
        <v>585</v>
      </c>
      <c r="C18" s="80" t="n">
        <f aca="false">SUM(INDEX(HerValeur,2):INDEX(HerValeur,9))</f>
        <v>715500</v>
      </c>
    </row>
    <row r="19" customFormat="false" ht="15" hidden="false" customHeight="false" outlineLevel="0" collapsed="false">
      <c r="B19" s="17" t="s">
        <v>586</v>
      </c>
      <c r="C19" s="41" t="n">
        <f aca="false">TotalDroits</f>
        <v>90313.05</v>
      </c>
    </row>
    <row r="20" customFormat="false" ht="15" hidden="false" customHeight="false" outlineLevel="0" collapsed="false">
      <c r="B20" s="9" t="s">
        <v>340</v>
      </c>
      <c r="C20" s="80" t="n">
        <f aca="false">AV_Prelevement990</f>
        <v>12500</v>
      </c>
    </row>
    <row r="21" customFormat="false" ht="15" hidden="false" customHeight="false" outlineLevel="0" collapsed="false">
      <c r="B21" s="17" t="s">
        <v>341</v>
      </c>
      <c r="C21" s="41" t="n">
        <f aca="false">CoutTransmission</f>
        <v>102813.05</v>
      </c>
    </row>
    <row r="22" customFormat="false" ht="15" hidden="false" customHeight="false" outlineLevel="0" collapsed="false">
      <c r="B22" s="17" t="s">
        <v>587</v>
      </c>
      <c r="C22" s="33" t="n">
        <f aca="false">TauxFrottement</f>
        <v>0.0697510515603799</v>
      </c>
    </row>
    <row r="24" customFormat="false" ht="19.5" hidden="false" customHeight="true" outlineLevel="0" collapsed="false">
      <c r="A24" s="4" t="s">
        <v>588</v>
      </c>
      <c r="B24" s="5"/>
      <c r="C24" s="5"/>
      <c r="D24" s="5"/>
      <c r="E24" s="5"/>
      <c r="F24" s="5"/>
    </row>
    <row r="25" customFormat="false" ht="15" hidden="false" customHeight="false" outlineLevel="0" collapsed="false">
      <c r="B25" s="9" t="s">
        <v>408</v>
      </c>
      <c r="C25" s="79" t="str">
        <f aca="false">Rt_Nom</f>
        <v>Jean MARTIN</v>
      </c>
    </row>
    <row r="26" customFormat="false" ht="15" hidden="false" customHeight="false" outlineLevel="0" collapsed="false">
      <c r="B26" s="9" t="s">
        <v>589</v>
      </c>
      <c r="C26" s="79" t="str">
        <f aca="false">Rt_AgeLegal&amp;" ans  /  "&amp;Rt_AgeTauxPlein&amp;" ans"</f>
        <v>64 ans  /  64 ans</v>
      </c>
    </row>
    <row r="27" customFormat="false" ht="15" hidden="false" customHeight="false" outlineLevel="0" collapsed="false">
      <c r="B27" s="9" t="s">
        <v>590</v>
      </c>
      <c r="C27" s="81" t="n">
        <f aca="false">Rt_AgeDepart</f>
        <v>64</v>
      </c>
    </row>
    <row r="28" customFormat="false" ht="15" hidden="false" customHeight="false" outlineLevel="0" collapsed="false">
      <c r="B28" s="9" t="s">
        <v>591</v>
      </c>
      <c r="C28" s="80" t="n">
        <f aca="false">Rt_PensionBruteMens</f>
        <v>2874.3079304106</v>
      </c>
    </row>
    <row r="29" customFormat="false" ht="15" hidden="false" customHeight="false" outlineLevel="0" collapsed="false">
      <c r="B29" s="17" t="s">
        <v>592</v>
      </c>
      <c r="C29" s="41" t="n">
        <f aca="false">Rt_PensionNetteMens</f>
        <v>2602.72620443913</v>
      </c>
    </row>
    <row r="30" customFormat="false" ht="15" hidden="false" customHeight="false" outlineLevel="0" collapsed="false">
      <c r="B30" s="9" t="s">
        <v>413</v>
      </c>
      <c r="C30" s="80" t="n">
        <f aca="false">Rt_RevNetMens</f>
        <v>4300</v>
      </c>
    </row>
    <row r="31" customFormat="false" ht="15" hidden="false" customHeight="false" outlineLevel="0" collapsed="false">
      <c r="B31" s="17" t="s">
        <v>593</v>
      </c>
      <c r="C31" s="33" t="n">
        <f aca="false">Rt_TauxRemplacement</f>
        <v>0.605285163823053</v>
      </c>
    </row>
    <row r="32" customFormat="false" ht="15" hidden="false" customHeight="false" outlineLevel="0" collapsed="false">
      <c r="B32" s="9" t="s">
        <v>594</v>
      </c>
      <c r="C32" s="80" t="n">
        <f aca="false">Ob_Objectif</f>
        <v>3800</v>
      </c>
    </row>
    <row r="33" customFormat="false" ht="15" hidden="false" customHeight="false" outlineLevel="0" collapsed="false">
      <c r="B33" s="9" t="s">
        <v>554</v>
      </c>
      <c r="C33" s="80" t="n">
        <f aca="false">Ob_EcartMens</f>
        <v>797.273795560874</v>
      </c>
    </row>
    <row r="34" customFormat="false" ht="15" hidden="false" customHeight="false" outlineLevel="0" collapsed="false">
      <c r="B34" s="9" t="s">
        <v>556</v>
      </c>
      <c r="C34" s="80" t="n">
        <f aca="false">Ob_CapitalNecessaire</f>
        <v>249742.216601992</v>
      </c>
    </row>
    <row r="35" customFormat="false" ht="15" hidden="false" customHeight="false" outlineLevel="0" collapsed="false">
      <c r="B35" s="9" t="s">
        <v>595</v>
      </c>
      <c r="C35" s="80" t="n">
        <f aca="false">Ob_CapitalProjete</f>
        <v>144025.958339532</v>
      </c>
    </row>
    <row r="36" customFormat="false" ht="15" hidden="false" customHeight="false" outlineLevel="0" collapsed="false">
      <c r="B36" s="17" t="s">
        <v>596</v>
      </c>
      <c r="C36" s="41" t="n">
        <f aca="false">Ob_EffortMensuel</f>
        <v>1385.52895890438</v>
      </c>
    </row>
    <row r="38" customFormat="false" ht="19.5" hidden="false" customHeight="true" outlineLevel="0" collapsed="false">
      <c r="A38" s="4" t="s">
        <v>597</v>
      </c>
      <c r="B38" s="5"/>
      <c r="C38" s="5"/>
      <c r="D38" s="5"/>
      <c r="E38" s="5"/>
      <c r="F38" s="5"/>
    </row>
    <row r="39" customFormat="false" ht="27.75" hidden="false" customHeight="true" outlineLevel="0" collapsed="false">
      <c r="B39" s="14" t="s">
        <v>598</v>
      </c>
      <c r="C39" s="14" t="s">
        <v>599</v>
      </c>
      <c r="D39" s="14"/>
      <c r="E39" s="14"/>
    </row>
    <row r="40" customFormat="false" ht="51.75" hidden="false" customHeight="true" outlineLevel="0" collapsed="false">
      <c r="B40" s="82" t="str">
        <f aca="false">IF(AbatSuccDisponibles&gt;1000,"Des abattements de succession restent inutilisés. Une donation ou une donation-partage permettrait de les mobiliser dès maintenant — le compteur se recharge tous les 15 ans.","Les abattements en ligne directe sont saturés : travailler le démembrement, l'assurance-vie ou la donation aux petits-enfants.")</f>
        <v>Les abattements en ligne directe sont saturés : travailler le démembrement, l'assurance-vie ou la donation aux petits-enfants.</v>
      </c>
      <c r="C40" s="83" t="n">
        <f aca="false">AbatSuccDisponibles</f>
        <v>0</v>
      </c>
    </row>
    <row r="41" customFormat="false" ht="51.75" hidden="false" customHeight="true" outlineLevel="0" collapsed="false">
      <c r="B41" s="82" t="str">
        <f aca="false">IF(AbatAVDisponibles&gt;1000,"Des abattements d'assurance-vie de 152 500 € par bénéficiaire restent disponibles : un versement avant 70 ans reste le levier le plus efficace.","Les abattements d'assurance-vie sont utilisés : au-delà, la taxation est de 20 % puis 31,25 %.")</f>
        <v>Les abattements d'assurance-vie sont utilisés : au-delà, la taxation est de 20 % puis 31,25 %.</v>
      </c>
      <c r="C41" s="83" t="n">
        <f aca="false">AbatAVDisponibles</f>
        <v>0</v>
      </c>
    </row>
    <row r="42" customFormat="false" ht="51.75" hidden="false" customHeight="true" outlineLevel="0" collapsed="false">
      <c r="B42" s="82" t="str">
        <f aca="false">IF(CmpOptionA-CmpOptionB&gt;1000,"L'option du conjoint pour l'usufruit total réduirait sensiblement les droits des enfants, tout en protégeant le conjoint (jouissance et revenus de la totalité des biens).","L'option pour l'usufruit total n'apporte pas d'économie significative dans cette configuration.")</f>
        <v>L'option du conjoint pour l'usufruit total réduirait sensiblement les droits des enfants, tout en protégeant le conjoint (jouissance et revenus de la totalité des biens).</v>
      </c>
      <c r="C42" s="83" t="n">
        <f aca="false">MAX(0,CmpOptionA-CmpOptionB)</f>
        <v>45910</v>
      </c>
    </row>
    <row r="43" customFormat="false" ht="51.75" hidden="false" customHeight="true" outlineLevel="0" collapsed="false">
      <c r="B43" s="82" t="str">
        <f aca="false">IF(TotalDroits&gt;LiquiditesSucc,"⚠️ Les liquidités et valeurs mobilières de la succession ne couvrent pas les droits, exigibles dans les 6 mois du décès. Prévoir une clause bénéficiaire d'assurance-vie dédiée, un contrat de prévoyance ou un crédit de droits de succession.","Les liquidités de la succession couvrent les droits exigibles ; l'écart indiqué est la marge disponible.")</f>
        <v>Les liquidités de la succession couvrent les droits exigibles ; l'écart indiqué est la marge disponible.</v>
      </c>
      <c r="C43" s="83" t="n">
        <f aca="false">ABS(TotalDroits-LiquiditesSucc)</f>
        <v>58686.95</v>
      </c>
    </row>
    <row r="44" customFormat="false" ht="51.75" hidden="false" customHeight="true" outlineLevel="0" collapsed="false">
      <c r="B44" s="82" t="str">
        <f aca="false">IF(Rt_TauxRemplacement&lt;0.6,"Le taux de remplacement est inférieur à 60 % : la baisse de revenu au passage à la retraite sera sensible et justifie un plan d'épargne dédié.","Le taux de remplacement est satisfaisant au regard du revenu actuel.")</f>
        <v>Le taux de remplacement est satisfaisant au regard du revenu actuel.</v>
      </c>
      <c r="C44" s="83" t="n">
        <f aca="false">Ob_EcartMens</f>
        <v>797.273795560874</v>
      </c>
    </row>
    <row r="45" customFormat="false" ht="51.75" hidden="false" customHeight="true" outlineLevel="0" collapsed="false">
      <c r="B45" s="82" t="str">
        <f aca="false">IF(Ob_EffortMensuel&gt;0.25*Rt_RevNetMens,"⚠️ L'effort d'épargne dépasse 25 % du revenu net : réviser l'objectif, décaler l'âge de départ ou allonger la durée d'épargne.",IF(Ob_EffortMensuel=0,"Aucun effort d'épargne supplémentaire n'est nécessaire.","L'effort d'épargne paraît soutenable — à confronter à la capacité d'épargne réelle du client."))</f>
        <v>⚠️ L'effort d'épargne dépasse 25 % du revenu net : réviser l'objectif, décaler l'âge de départ ou allonger la durée d'épargne.</v>
      </c>
      <c r="C45" s="83" t="n">
        <f aca="false">Ob_EffortMensuel</f>
        <v>1385.52895890438</v>
      </c>
    </row>
    <row r="46" customFormat="false" ht="51.75" hidden="false" customHeight="true" outlineLevel="0" collapsed="false">
      <c r="B46" s="82" t="str">
        <f aca="false">IF(INDEX(Rt_ScenPensionNetteMens,6)-INDEX(Rt_ScenPensionNetteMens,3)&gt;0,"Reporter le départ de 64 à 67 ans augmenterait la pension nette mensuelle du montant indiqué (effet cumulé de la surcote, des trimestres supplémentaires et des points Agirc-Arrco).","")</f>
        <v>Reporter le départ de 64 à 67 ans augmenterait la pension nette mensuelle du montant indiqué (effet cumulé de la surcote, des trimestres supplémentaires et des points Agirc-Arrco).</v>
      </c>
      <c r="C46" s="83" t="n">
        <f aca="false">MAX(0,INDEX(Rt_ScenPensionNetteMens,6)-INDEX(Rt_ScenPensionNetteMens,3))</f>
        <v>652.751636652483</v>
      </c>
    </row>
    <row r="48" customFormat="false" ht="19.5" hidden="false" customHeight="true" outlineLevel="0" collapsed="false">
      <c r="A48" s="4" t="s">
        <v>600</v>
      </c>
      <c r="B48" s="5"/>
      <c r="C48" s="5"/>
      <c r="D48" s="5"/>
      <c r="E48" s="5"/>
      <c r="F48" s="5"/>
    </row>
    <row r="49" customFormat="false" ht="15" hidden="false" customHeight="false" outlineLevel="0" collapsed="false">
      <c r="B49" s="57" t="s">
        <v>601</v>
      </c>
      <c r="C49" s="31" t="n">
        <f aca="false">SUMPRODUCT((DrAbatNet&gt;DrBaseAvantAbat)*(DrAbatNet-DrBaseAvantAbat))</f>
        <v>0</v>
      </c>
    </row>
    <row r="50" customFormat="false" ht="15" hidden="false" customHeight="false" outlineLevel="0" collapsed="false">
      <c r="B50" s="57" t="s">
        <v>602</v>
      </c>
      <c r="C50" s="31" t="n">
        <f aca="false">SUMPRODUCT((AV_BenefNom&lt;&gt;"")*(AV_Exonere="Non")*(AV_Abat990-AV_AbatUtilise))</f>
        <v>0</v>
      </c>
    </row>
    <row r="51" customFormat="false" ht="15" hidden="false" customHeight="false" outlineLevel="0" collapsed="false">
      <c r="B51" s="57" t="s">
        <v>603</v>
      </c>
      <c r="C51" s="31" t="n">
        <f aca="false">SUMIFS(ActPartSucc,ActCategorie,"Liquidités et livrets")+SUMIFS(ActPartSucc,ActCategorie,"Comptes-titres / PEA")</f>
        <v>149000</v>
      </c>
    </row>
    <row r="53" customFormat="false" ht="15" hidden="false" customHeight="false" outlineLevel="0" collapsed="false">
      <c r="B53" s="21" t="s">
        <v>604</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168"/>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6"/>
    <col collapsed="false" customWidth="true" hidden="false" outlineLevel="0" max="4" min="4" style="0" width="22"/>
    <col collapsed="false" customWidth="true" hidden="false" outlineLevel="0" max="5" min="5" style="0" width="74"/>
    <col collapsed="false" customWidth="true" hidden="false" outlineLevel="0" max="7" min="6" style="0" width="14"/>
  </cols>
  <sheetData>
    <row r="1" customFormat="false" ht="30" hidden="false" customHeight="true" outlineLevel="0" collapsed="false">
      <c r="A1" s="1" t="s">
        <v>605</v>
      </c>
      <c r="B1" s="2"/>
      <c r="C1" s="2"/>
      <c r="D1" s="2"/>
      <c r="E1" s="2"/>
      <c r="F1" s="2"/>
    </row>
    <row r="2" customFormat="false" ht="13.5" hidden="false" customHeight="true" outlineLevel="0" collapsed="false">
      <c r="A2" s="3" t="s">
        <v>606</v>
      </c>
    </row>
    <row r="3" customFormat="false" ht="15" hidden="false" customHeight="false" outlineLevel="0" collapsed="false">
      <c r="B3" s="84" t="s">
        <v>607</v>
      </c>
    </row>
    <row r="5" customFormat="false" ht="19.5" hidden="false" customHeight="true" outlineLevel="0" collapsed="false">
      <c r="A5" s="4" t="s">
        <v>608</v>
      </c>
      <c r="B5" s="5"/>
      <c r="C5" s="5"/>
      <c r="D5" s="5"/>
      <c r="E5" s="5"/>
      <c r="F5" s="5"/>
    </row>
    <row r="6" customFormat="false" ht="27.75" hidden="false" customHeight="true" outlineLevel="0" collapsed="false">
      <c r="B6" s="14" t="s">
        <v>294</v>
      </c>
      <c r="C6" s="14" t="s">
        <v>609</v>
      </c>
      <c r="D6" s="14" t="s">
        <v>333</v>
      </c>
      <c r="E6" s="14" t="s">
        <v>610</v>
      </c>
    </row>
    <row r="7" customFormat="false" ht="15" hidden="false" customHeight="false" outlineLevel="0" collapsed="false">
      <c r="B7" s="85" t="s">
        <v>187</v>
      </c>
      <c r="C7" s="29" t="n">
        <v>0</v>
      </c>
      <c r="D7" s="8" t="s">
        <v>611</v>
      </c>
      <c r="E7" s="21" t="s">
        <v>612</v>
      </c>
    </row>
    <row r="8" customFormat="false" ht="15" hidden="false" customHeight="false" outlineLevel="0" collapsed="false">
      <c r="B8" s="85" t="s">
        <v>613</v>
      </c>
      <c r="C8" s="29" t="n">
        <v>0</v>
      </c>
      <c r="D8" s="8" t="s">
        <v>611</v>
      </c>
      <c r="E8" s="21" t="s">
        <v>614</v>
      </c>
    </row>
    <row r="9" customFormat="false" ht="15" hidden="false" customHeight="false" outlineLevel="0" collapsed="false">
      <c r="B9" s="85" t="s">
        <v>254</v>
      </c>
      <c r="C9" s="29" t="n">
        <v>100000</v>
      </c>
      <c r="D9" s="8" t="s">
        <v>615</v>
      </c>
      <c r="E9" s="21" t="s">
        <v>616</v>
      </c>
    </row>
    <row r="10" customFormat="false" ht="15" hidden="false" customHeight="false" outlineLevel="0" collapsed="false">
      <c r="B10" s="85" t="s">
        <v>617</v>
      </c>
      <c r="C10" s="29" t="n">
        <v>100000</v>
      </c>
      <c r="D10" s="8" t="s">
        <v>615</v>
      </c>
      <c r="E10" s="21" t="s">
        <v>616</v>
      </c>
    </row>
    <row r="11" customFormat="false" ht="15" hidden="false" customHeight="false" outlineLevel="0" collapsed="false">
      <c r="B11" s="85" t="s">
        <v>618</v>
      </c>
      <c r="C11" s="29" t="n">
        <v>1594</v>
      </c>
      <c r="D11" s="8" t="s">
        <v>615</v>
      </c>
      <c r="E11" s="21" t="s">
        <v>619</v>
      </c>
    </row>
    <row r="12" customFormat="false" ht="15" hidden="false" customHeight="false" outlineLevel="0" collapsed="false">
      <c r="B12" s="85" t="s">
        <v>620</v>
      </c>
      <c r="C12" s="29" t="n">
        <v>1594</v>
      </c>
      <c r="D12" s="8" t="s">
        <v>615</v>
      </c>
      <c r="E12" s="21" t="s">
        <v>621</v>
      </c>
    </row>
    <row r="13" customFormat="false" ht="15" hidden="false" customHeight="false" outlineLevel="0" collapsed="false">
      <c r="B13" s="85" t="s">
        <v>622</v>
      </c>
      <c r="C13" s="29" t="n">
        <v>15932</v>
      </c>
      <c r="D13" s="8" t="s">
        <v>623</v>
      </c>
      <c r="E13" s="21" t="s">
        <v>624</v>
      </c>
    </row>
    <row r="14" customFormat="false" ht="15" hidden="false" customHeight="false" outlineLevel="0" collapsed="false">
      <c r="B14" s="85" t="s">
        <v>625</v>
      </c>
      <c r="C14" s="29" t="n">
        <v>7967</v>
      </c>
      <c r="D14" s="8" t="s">
        <v>626</v>
      </c>
      <c r="E14" s="21" t="s">
        <v>627</v>
      </c>
    </row>
    <row r="15" customFormat="false" ht="15" hidden="false" customHeight="false" outlineLevel="0" collapsed="false">
      <c r="B15" s="85" t="s">
        <v>628</v>
      </c>
      <c r="C15" s="29" t="n">
        <v>15932</v>
      </c>
      <c r="D15" s="8" t="s">
        <v>623</v>
      </c>
      <c r="E15" s="21" t="s">
        <v>629</v>
      </c>
    </row>
    <row r="16" customFormat="false" ht="15" hidden="false" customHeight="false" outlineLevel="0" collapsed="false">
      <c r="B16" s="85" t="s">
        <v>312</v>
      </c>
      <c r="C16" s="29" t="n">
        <v>1594</v>
      </c>
      <c r="D16" s="8" t="s">
        <v>626</v>
      </c>
      <c r="E16" s="21" t="s">
        <v>630</v>
      </c>
    </row>
    <row r="17" customFormat="false" ht="15" hidden="false" customHeight="false" outlineLevel="0" collapsed="false">
      <c r="B17" s="85" t="s">
        <v>631</v>
      </c>
      <c r="C17" s="29" t="n">
        <v>1594</v>
      </c>
      <c r="D17" s="8" t="s">
        <v>632</v>
      </c>
      <c r="E17" s="21" t="s">
        <v>633</v>
      </c>
    </row>
    <row r="18" customFormat="false" ht="15" hidden="false" customHeight="false" outlineLevel="0" collapsed="false">
      <c r="B18" s="85" t="s">
        <v>634</v>
      </c>
      <c r="C18" s="29" t="n">
        <v>0</v>
      </c>
      <c r="D18" s="8" t="s">
        <v>611</v>
      </c>
      <c r="E18" s="21" t="s">
        <v>635</v>
      </c>
    </row>
    <row r="20" customFormat="false" ht="19.5" hidden="false" customHeight="true" outlineLevel="0" collapsed="false">
      <c r="A20" s="4" t="s">
        <v>636</v>
      </c>
      <c r="B20" s="5"/>
      <c r="C20" s="5"/>
      <c r="D20" s="5"/>
      <c r="E20" s="5"/>
      <c r="F20" s="5"/>
    </row>
    <row r="21" customFormat="false" ht="27.75" hidden="false" customHeight="true" outlineLevel="0" collapsed="false">
      <c r="B21" s="14" t="s">
        <v>333</v>
      </c>
      <c r="C21" s="14" t="s">
        <v>637</v>
      </c>
      <c r="D21" s="14" t="s">
        <v>638</v>
      </c>
      <c r="E21" s="14" t="s">
        <v>639</v>
      </c>
    </row>
    <row r="22" customFormat="false" ht="15" hidden="false" customHeight="false" outlineLevel="0" collapsed="false">
      <c r="B22" s="85" t="s">
        <v>615</v>
      </c>
      <c r="C22" s="29" t="n">
        <v>0</v>
      </c>
      <c r="D22" s="37" t="n">
        <v>0.05</v>
      </c>
      <c r="E22" s="32" t="n">
        <v>0</v>
      </c>
    </row>
    <row r="23" customFormat="false" ht="15" hidden="false" customHeight="false" outlineLevel="0" collapsed="false">
      <c r="B23" s="85" t="s">
        <v>615</v>
      </c>
      <c r="C23" s="29" t="n">
        <v>8072</v>
      </c>
      <c r="D23" s="37" t="n">
        <v>0.1</v>
      </c>
      <c r="E23" s="32" t="n">
        <f aca="false">IF(B23=B22,D22,0)</f>
        <v>0.05</v>
      </c>
    </row>
    <row r="24" customFormat="false" ht="15" hidden="false" customHeight="false" outlineLevel="0" collapsed="false">
      <c r="B24" s="85" t="s">
        <v>615</v>
      </c>
      <c r="C24" s="29" t="n">
        <v>12109</v>
      </c>
      <c r="D24" s="37" t="n">
        <v>0.15</v>
      </c>
      <c r="E24" s="32" t="n">
        <f aca="false">IF(B24=B23,D23,0)</f>
        <v>0.1</v>
      </c>
    </row>
    <row r="25" customFormat="false" ht="15" hidden="false" customHeight="false" outlineLevel="0" collapsed="false">
      <c r="B25" s="85" t="s">
        <v>615</v>
      </c>
      <c r="C25" s="29" t="n">
        <v>15932</v>
      </c>
      <c r="D25" s="37" t="n">
        <v>0.2</v>
      </c>
      <c r="E25" s="32" t="n">
        <f aca="false">IF(B25=B24,D24,0)</f>
        <v>0.15</v>
      </c>
    </row>
    <row r="26" customFormat="false" ht="15" hidden="false" customHeight="false" outlineLevel="0" collapsed="false">
      <c r="B26" s="85" t="s">
        <v>615</v>
      </c>
      <c r="C26" s="29" t="n">
        <v>552324</v>
      </c>
      <c r="D26" s="37" t="n">
        <v>0.3</v>
      </c>
      <c r="E26" s="32" t="n">
        <f aca="false">IF(B26=B25,D25,0)</f>
        <v>0.2</v>
      </c>
    </row>
    <row r="27" customFormat="false" ht="15" hidden="false" customHeight="false" outlineLevel="0" collapsed="false">
      <c r="B27" s="85" t="s">
        <v>615</v>
      </c>
      <c r="C27" s="29" t="n">
        <v>902838</v>
      </c>
      <c r="D27" s="37" t="n">
        <v>0.4</v>
      </c>
      <c r="E27" s="32" t="n">
        <f aca="false">IF(B27=B26,D26,0)</f>
        <v>0.3</v>
      </c>
    </row>
    <row r="28" customFormat="false" ht="15" hidden="false" customHeight="false" outlineLevel="0" collapsed="false">
      <c r="B28" s="85" t="s">
        <v>615</v>
      </c>
      <c r="C28" s="29" t="n">
        <v>1805677</v>
      </c>
      <c r="D28" s="37" t="n">
        <v>0.45</v>
      </c>
      <c r="E28" s="32" t="n">
        <f aca="false">IF(B28=B27,D27,0)</f>
        <v>0.4</v>
      </c>
    </row>
    <row r="29" customFormat="false" ht="15" hidden="false" customHeight="false" outlineLevel="0" collapsed="false">
      <c r="B29" s="85" t="s">
        <v>623</v>
      </c>
      <c r="C29" s="29" t="n">
        <v>0</v>
      </c>
      <c r="D29" s="37" t="n">
        <v>0.35</v>
      </c>
      <c r="E29" s="32" t="n">
        <f aca="false">IF(B29=B28,D28,0)</f>
        <v>0</v>
      </c>
    </row>
    <row r="30" customFormat="false" ht="15" hidden="false" customHeight="false" outlineLevel="0" collapsed="false">
      <c r="B30" s="85" t="s">
        <v>623</v>
      </c>
      <c r="C30" s="29" t="n">
        <v>24430</v>
      </c>
      <c r="D30" s="37" t="n">
        <v>0.45</v>
      </c>
      <c r="E30" s="32" t="n">
        <f aca="false">IF(B30=B29,D29,0)</f>
        <v>0.35</v>
      </c>
    </row>
    <row r="31" customFormat="false" ht="15" hidden="false" customHeight="false" outlineLevel="0" collapsed="false">
      <c r="B31" s="85" t="s">
        <v>626</v>
      </c>
      <c r="C31" s="29" t="n">
        <v>0</v>
      </c>
      <c r="D31" s="37" t="n">
        <v>0.55</v>
      </c>
      <c r="E31" s="32" t="n">
        <f aca="false">IF(B31=B30,D30,0)</f>
        <v>0</v>
      </c>
    </row>
    <row r="32" customFormat="false" ht="15" hidden="false" customHeight="false" outlineLevel="0" collapsed="false">
      <c r="B32" s="85" t="s">
        <v>632</v>
      </c>
      <c r="C32" s="29" t="n">
        <v>0</v>
      </c>
      <c r="D32" s="37" t="n">
        <v>0.6</v>
      </c>
      <c r="E32" s="32" t="n">
        <f aca="false">IF(B32=B31,D31,0)</f>
        <v>0</v>
      </c>
    </row>
    <row r="33" customFormat="false" ht="15" hidden="false" customHeight="false" outlineLevel="0" collapsed="false">
      <c r="B33" s="85" t="s">
        <v>611</v>
      </c>
      <c r="C33" s="29" t="n">
        <v>0</v>
      </c>
      <c r="D33" s="37" t="n">
        <v>0</v>
      </c>
      <c r="E33" s="32" t="n">
        <f aca="false">IF(B33=B32,D32,0)</f>
        <v>0</v>
      </c>
    </row>
    <row r="34" customFormat="false" ht="15" hidden="false" customHeight="false" outlineLevel="0" collapsed="false">
      <c r="B34" s="21" t="s">
        <v>640</v>
      </c>
    </row>
    <row r="36" customFormat="false" ht="19.5" hidden="false" customHeight="true" outlineLevel="0" collapsed="false">
      <c r="A36" s="4" t="s">
        <v>641</v>
      </c>
      <c r="B36" s="5"/>
      <c r="C36" s="5"/>
      <c r="D36" s="5"/>
      <c r="E36" s="5"/>
      <c r="F36" s="5"/>
    </row>
    <row r="37" customFormat="false" ht="27.75" hidden="false" customHeight="true" outlineLevel="0" collapsed="false">
      <c r="B37" s="14" t="s">
        <v>642</v>
      </c>
      <c r="C37" s="14" t="s">
        <v>643</v>
      </c>
      <c r="D37" s="14" t="s">
        <v>644</v>
      </c>
      <c r="E37" s="14" t="s">
        <v>645</v>
      </c>
    </row>
    <row r="38" customFormat="false" ht="15" hidden="false" customHeight="false" outlineLevel="0" collapsed="false">
      <c r="B38" s="28" t="n">
        <v>0</v>
      </c>
      <c r="C38" s="28" t="n">
        <v>20</v>
      </c>
      <c r="D38" s="37" t="n">
        <v>0.9</v>
      </c>
      <c r="E38" s="32" t="n">
        <f aca="false">1-D38</f>
        <v>0.1</v>
      </c>
    </row>
    <row r="39" customFormat="false" ht="15" hidden="false" customHeight="false" outlineLevel="0" collapsed="false">
      <c r="B39" s="28" t="n">
        <v>21</v>
      </c>
      <c r="C39" s="28" t="n">
        <v>30</v>
      </c>
      <c r="D39" s="37" t="n">
        <v>0.8</v>
      </c>
      <c r="E39" s="32" t="n">
        <f aca="false">1-D39</f>
        <v>0.2</v>
      </c>
    </row>
    <row r="40" customFormat="false" ht="15" hidden="false" customHeight="false" outlineLevel="0" collapsed="false">
      <c r="B40" s="28" t="n">
        <v>31</v>
      </c>
      <c r="C40" s="28" t="n">
        <v>40</v>
      </c>
      <c r="D40" s="37" t="n">
        <v>0.7</v>
      </c>
      <c r="E40" s="32" t="n">
        <f aca="false">1-D40</f>
        <v>0.3</v>
      </c>
    </row>
    <row r="41" customFormat="false" ht="15" hidden="false" customHeight="false" outlineLevel="0" collapsed="false">
      <c r="B41" s="28" t="n">
        <v>41</v>
      </c>
      <c r="C41" s="28" t="n">
        <v>50</v>
      </c>
      <c r="D41" s="37" t="n">
        <v>0.6</v>
      </c>
      <c r="E41" s="32" t="n">
        <f aca="false">1-D41</f>
        <v>0.4</v>
      </c>
    </row>
    <row r="42" customFormat="false" ht="15" hidden="false" customHeight="false" outlineLevel="0" collapsed="false">
      <c r="B42" s="28" t="n">
        <v>51</v>
      </c>
      <c r="C42" s="28" t="n">
        <v>60</v>
      </c>
      <c r="D42" s="37" t="n">
        <v>0.5</v>
      </c>
      <c r="E42" s="32" t="n">
        <f aca="false">1-D42</f>
        <v>0.5</v>
      </c>
    </row>
    <row r="43" customFormat="false" ht="15" hidden="false" customHeight="false" outlineLevel="0" collapsed="false">
      <c r="B43" s="28" t="n">
        <v>61</v>
      </c>
      <c r="C43" s="28" t="n">
        <v>70</v>
      </c>
      <c r="D43" s="37" t="n">
        <v>0.4</v>
      </c>
      <c r="E43" s="32" t="n">
        <f aca="false">1-D43</f>
        <v>0.6</v>
      </c>
    </row>
    <row r="44" customFormat="false" ht="15" hidden="false" customHeight="false" outlineLevel="0" collapsed="false">
      <c r="B44" s="28" t="n">
        <v>71</v>
      </c>
      <c r="C44" s="28" t="n">
        <v>80</v>
      </c>
      <c r="D44" s="37" t="n">
        <v>0.3</v>
      </c>
      <c r="E44" s="32" t="n">
        <f aca="false">1-D44</f>
        <v>0.7</v>
      </c>
    </row>
    <row r="45" customFormat="false" ht="15" hidden="false" customHeight="false" outlineLevel="0" collapsed="false">
      <c r="B45" s="28" t="n">
        <v>81</v>
      </c>
      <c r="C45" s="28" t="n">
        <v>90</v>
      </c>
      <c r="D45" s="37" t="n">
        <v>0.2</v>
      </c>
      <c r="E45" s="32" t="n">
        <f aca="false">1-D45</f>
        <v>0.8</v>
      </c>
    </row>
    <row r="46" customFormat="false" ht="15" hidden="false" customHeight="false" outlineLevel="0" collapsed="false">
      <c r="B46" s="28" t="n">
        <v>91</v>
      </c>
      <c r="C46" s="28" t="n">
        <v>130</v>
      </c>
      <c r="D46" s="37" t="n">
        <v>0.1</v>
      </c>
      <c r="E46" s="32" t="n">
        <f aca="false">1-D46</f>
        <v>0.9</v>
      </c>
    </row>
    <row r="47" customFormat="false" ht="15" hidden="false" customHeight="false" outlineLevel="0" collapsed="false">
      <c r="B47" s="21" t="s">
        <v>646</v>
      </c>
    </row>
    <row r="49" customFormat="false" ht="19.5" hidden="false" customHeight="true" outlineLevel="0" collapsed="false">
      <c r="A49" s="4" t="s">
        <v>647</v>
      </c>
      <c r="B49" s="5"/>
      <c r="C49" s="5"/>
      <c r="D49" s="5"/>
      <c r="E49" s="5"/>
      <c r="F49" s="5"/>
    </row>
    <row r="50" customFormat="false" ht="15" hidden="false" customHeight="false" outlineLevel="0" collapsed="false">
      <c r="B50" s="9" t="s">
        <v>648</v>
      </c>
      <c r="C50" s="29" t="n">
        <v>159325</v>
      </c>
      <c r="E50" s="21" t="s">
        <v>649</v>
      </c>
    </row>
    <row r="51" customFormat="false" ht="15" hidden="false" customHeight="false" outlineLevel="0" collapsed="false">
      <c r="B51" s="9" t="s">
        <v>650</v>
      </c>
      <c r="C51" s="37" t="n">
        <v>0.2</v>
      </c>
      <c r="E51" s="21" t="s">
        <v>651</v>
      </c>
    </row>
    <row r="52" customFormat="false" ht="15" hidden="false" customHeight="false" outlineLevel="0" collapsed="false">
      <c r="B52" s="9" t="s">
        <v>652</v>
      </c>
      <c r="C52" s="37" t="n">
        <v>0.05</v>
      </c>
      <c r="E52" s="21" t="s">
        <v>653</v>
      </c>
    </row>
    <row r="53" customFormat="false" ht="15" hidden="false" customHeight="false" outlineLevel="0" collapsed="false">
      <c r="B53" s="9" t="s">
        <v>654</v>
      </c>
      <c r="C53" s="29" t="n">
        <v>1500</v>
      </c>
      <c r="E53" s="21" t="s">
        <v>655</v>
      </c>
    </row>
    <row r="54" customFormat="false" ht="15" hidden="false" customHeight="false" outlineLevel="0" collapsed="false">
      <c r="B54" s="9" t="s">
        <v>656</v>
      </c>
      <c r="C54" s="28" t="n">
        <v>15</v>
      </c>
      <c r="E54" s="21" t="s">
        <v>657</v>
      </c>
    </row>
    <row r="55" customFormat="false" ht="15" hidden="false" customHeight="false" outlineLevel="0" collapsed="false">
      <c r="B55" s="9" t="s">
        <v>658</v>
      </c>
      <c r="C55" s="29" t="n">
        <v>31865</v>
      </c>
      <c r="E55" s="21" t="s">
        <v>659</v>
      </c>
    </row>
    <row r="57" customFormat="false" ht="19.5" hidden="false" customHeight="true" outlineLevel="0" collapsed="false">
      <c r="A57" s="4" t="s">
        <v>660</v>
      </c>
      <c r="B57" s="5"/>
      <c r="C57" s="5"/>
      <c r="D57" s="5"/>
      <c r="E57" s="5"/>
      <c r="F57" s="5"/>
    </row>
    <row r="58" customFormat="false" ht="15" hidden="false" customHeight="false" outlineLevel="0" collapsed="false">
      <c r="B58" s="9" t="s">
        <v>661</v>
      </c>
      <c r="C58" s="29" t="n">
        <v>152500</v>
      </c>
      <c r="E58" s="21" t="s">
        <v>662</v>
      </c>
    </row>
    <row r="59" customFormat="false" ht="15" hidden="false" customHeight="false" outlineLevel="0" collapsed="false">
      <c r="B59" s="9" t="s">
        <v>663</v>
      </c>
      <c r="C59" s="29" t="n">
        <v>700000</v>
      </c>
      <c r="E59" s="21" t="s">
        <v>664</v>
      </c>
    </row>
    <row r="60" customFormat="false" ht="15" hidden="false" customHeight="false" outlineLevel="0" collapsed="false">
      <c r="B60" s="9" t="s">
        <v>665</v>
      </c>
      <c r="C60" s="37" t="n">
        <v>0.2</v>
      </c>
      <c r="E60" s="21" t="s">
        <v>666</v>
      </c>
    </row>
    <row r="61" customFormat="false" ht="15" hidden="false" customHeight="false" outlineLevel="0" collapsed="false">
      <c r="B61" s="9" t="s">
        <v>667</v>
      </c>
      <c r="C61" s="58" t="n">
        <v>0.3125</v>
      </c>
      <c r="E61" s="21" t="s">
        <v>666</v>
      </c>
    </row>
    <row r="62" customFormat="false" ht="15" hidden="false" customHeight="false" outlineLevel="0" collapsed="false">
      <c r="B62" s="9" t="s">
        <v>668</v>
      </c>
      <c r="C62" s="29" t="n">
        <v>30500</v>
      </c>
      <c r="E62" s="21" t="s">
        <v>669</v>
      </c>
    </row>
    <row r="63" customFormat="false" ht="15" hidden="false" customHeight="false" outlineLevel="0" collapsed="false">
      <c r="B63" s="21" t="s">
        <v>670</v>
      </c>
    </row>
    <row r="65" customFormat="false" ht="19.5" hidden="false" customHeight="true" outlineLevel="0" collapsed="false">
      <c r="A65" s="4" t="s">
        <v>671</v>
      </c>
      <c r="B65" s="5"/>
      <c r="C65" s="5"/>
      <c r="D65" s="5"/>
      <c r="E65" s="5"/>
      <c r="F65" s="5"/>
    </row>
    <row r="66" customFormat="false" ht="27.75" hidden="false" customHeight="true" outlineLevel="0" collapsed="false">
      <c r="B66" s="14" t="s">
        <v>672</v>
      </c>
      <c r="C66" s="14" t="s">
        <v>673</v>
      </c>
      <c r="D66" s="14" t="s">
        <v>674</v>
      </c>
      <c r="E66" s="14" t="s">
        <v>675</v>
      </c>
    </row>
    <row r="67" customFormat="false" ht="15" hidden="false" customHeight="false" outlineLevel="0" collapsed="false">
      <c r="B67" s="29" t="n">
        <v>0</v>
      </c>
      <c r="C67" s="37" t="n">
        <v>0</v>
      </c>
      <c r="D67" s="32" t="n">
        <v>0</v>
      </c>
    </row>
    <row r="68" customFormat="false" ht="15" hidden="false" customHeight="false" outlineLevel="0" collapsed="false">
      <c r="B68" s="29" t="n">
        <v>11497</v>
      </c>
      <c r="C68" s="37" t="n">
        <v>0.11</v>
      </c>
      <c r="D68" s="32" t="n">
        <f aca="false">C67</f>
        <v>0</v>
      </c>
    </row>
    <row r="69" customFormat="false" ht="15" hidden="false" customHeight="false" outlineLevel="0" collapsed="false">
      <c r="B69" s="29" t="n">
        <v>29315</v>
      </c>
      <c r="C69" s="37" t="n">
        <v>0.3</v>
      </c>
      <c r="D69" s="32" t="n">
        <f aca="false">C68</f>
        <v>0.11</v>
      </c>
    </row>
    <row r="70" customFormat="false" ht="15" hidden="false" customHeight="false" outlineLevel="0" collapsed="false">
      <c r="B70" s="29" t="n">
        <v>83823</v>
      </c>
      <c r="C70" s="37" t="n">
        <v>0.41</v>
      </c>
      <c r="D70" s="32" t="n">
        <f aca="false">C69</f>
        <v>0.3</v>
      </c>
    </row>
    <row r="71" customFormat="false" ht="15" hidden="false" customHeight="false" outlineLevel="0" collapsed="false">
      <c r="B71" s="29" t="n">
        <v>180294</v>
      </c>
      <c r="C71" s="37" t="n">
        <v>0.45</v>
      </c>
      <c r="D71" s="32" t="n">
        <f aca="false">C70</f>
        <v>0.41</v>
      </c>
    </row>
    <row r="72" customFormat="false" ht="15" hidden="false" customHeight="false" outlineLevel="0" collapsed="false">
      <c r="B72" s="21" t="s">
        <v>676</v>
      </c>
    </row>
    <row r="74" customFormat="false" ht="19.5" hidden="false" customHeight="true" outlineLevel="0" collapsed="false">
      <c r="A74" s="4" t="s">
        <v>677</v>
      </c>
      <c r="B74" s="5"/>
      <c r="C74" s="5"/>
      <c r="D74" s="5"/>
      <c r="E74" s="5"/>
      <c r="F74" s="5"/>
    </row>
    <row r="75" customFormat="false" ht="15" hidden="false" customHeight="false" outlineLevel="0" collapsed="false">
      <c r="B75" s="86" t="s">
        <v>678</v>
      </c>
    </row>
    <row r="76" customFormat="false" ht="27.75" hidden="false" customHeight="true" outlineLevel="0" collapsed="false">
      <c r="B76" s="14" t="s">
        <v>410</v>
      </c>
      <c r="C76" s="14" t="s">
        <v>419</v>
      </c>
      <c r="D76" s="14" t="s">
        <v>421</v>
      </c>
      <c r="E76" s="14" t="s">
        <v>422</v>
      </c>
    </row>
    <row r="77" customFormat="false" ht="15" hidden="false" customHeight="false" outlineLevel="0" collapsed="false">
      <c r="B77" s="28" t="n">
        <v>1950</v>
      </c>
      <c r="C77" s="30" t="n">
        <v>62</v>
      </c>
      <c r="D77" s="28" t="n">
        <v>166</v>
      </c>
      <c r="E77" s="28" t="n">
        <v>67</v>
      </c>
    </row>
    <row r="78" customFormat="false" ht="15" hidden="false" customHeight="false" outlineLevel="0" collapsed="false">
      <c r="B78" s="28" t="n">
        <v>1951</v>
      </c>
      <c r="C78" s="30" t="n">
        <v>62</v>
      </c>
      <c r="D78" s="28" t="n">
        <v>166</v>
      </c>
      <c r="E78" s="28" t="n">
        <v>67</v>
      </c>
    </row>
    <row r="79" customFormat="false" ht="15" hidden="false" customHeight="false" outlineLevel="0" collapsed="false">
      <c r="B79" s="28" t="n">
        <v>1952</v>
      </c>
      <c r="C79" s="30" t="n">
        <v>62</v>
      </c>
      <c r="D79" s="28" t="n">
        <v>166</v>
      </c>
      <c r="E79" s="28" t="n">
        <v>67</v>
      </c>
    </row>
    <row r="80" customFormat="false" ht="15" hidden="false" customHeight="false" outlineLevel="0" collapsed="false">
      <c r="B80" s="28" t="n">
        <v>1953</v>
      </c>
      <c r="C80" s="30" t="n">
        <v>62</v>
      </c>
      <c r="D80" s="28" t="n">
        <v>166</v>
      </c>
      <c r="E80" s="28" t="n">
        <v>67</v>
      </c>
    </row>
    <row r="81" customFormat="false" ht="15" hidden="false" customHeight="false" outlineLevel="0" collapsed="false">
      <c r="B81" s="28" t="n">
        <v>1954</v>
      </c>
      <c r="C81" s="30" t="n">
        <v>62</v>
      </c>
      <c r="D81" s="28" t="n">
        <v>166</v>
      </c>
      <c r="E81" s="28" t="n">
        <v>67</v>
      </c>
    </row>
    <row r="82" customFormat="false" ht="15" hidden="false" customHeight="false" outlineLevel="0" collapsed="false">
      <c r="B82" s="28" t="n">
        <v>1955</v>
      </c>
      <c r="C82" s="30" t="n">
        <v>62</v>
      </c>
      <c r="D82" s="28" t="n">
        <v>166</v>
      </c>
      <c r="E82" s="28" t="n">
        <v>67</v>
      </c>
    </row>
    <row r="83" customFormat="false" ht="15" hidden="false" customHeight="false" outlineLevel="0" collapsed="false">
      <c r="B83" s="28" t="n">
        <v>1956</v>
      </c>
      <c r="C83" s="30" t="n">
        <v>62</v>
      </c>
      <c r="D83" s="28" t="n">
        <v>166</v>
      </c>
      <c r="E83" s="28" t="n">
        <v>67</v>
      </c>
    </row>
    <row r="84" customFormat="false" ht="15" hidden="false" customHeight="false" outlineLevel="0" collapsed="false">
      <c r="B84" s="28" t="n">
        <v>1957</v>
      </c>
      <c r="C84" s="30" t="n">
        <v>62</v>
      </c>
      <c r="D84" s="28" t="n">
        <v>166</v>
      </c>
      <c r="E84" s="28" t="n">
        <v>67</v>
      </c>
    </row>
    <row r="85" customFormat="false" ht="15" hidden="false" customHeight="false" outlineLevel="0" collapsed="false">
      <c r="B85" s="28" t="n">
        <v>1958</v>
      </c>
      <c r="C85" s="30" t="n">
        <v>62</v>
      </c>
      <c r="D85" s="28" t="n">
        <v>167</v>
      </c>
      <c r="E85" s="28" t="n">
        <v>67</v>
      </c>
    </row>
    <row r="86" customFormat="false" ht="15" hidden="false" customHeight="false" outlineLevel="0" collapsed="false">
      <c r="B86" s="28" t="n">
        <v>1959</v>
      </c>
      <c r="C86" s="30" t="n">
        <v>62</v>
      </c>
      <c r="D86" s="28" t="n">
        <v>167</v>
      </c>
      <c r="E86" s="28" t="n">
        <v>67</v>
      </c>
    </row>
    <row r="87" customFormat="false" ht="15" hidden="false" customHeight="false" outlineLevel="0" collapsed="false">
      <c r="B87" s="28" t="n">
        <v>1960</v>
      </c>
      <c r="C87" s="30" t="n">
        <v>62</v>
      </c>
      <c r="D87" s="28" t="n">
        <v>167</v>
      </c>
      <c r="E87" s="28" t="n">
        <v>67</v>
      </c>
    </row>
    <row r="88" customFormat="false" ht="15" hidden="false" customHeight="false" outlineLevel="0" collapsed="false">
      <c r="B88" s="28" t="n">
        <v>1961</v>
      </c>
      <c r="C88" s="30" t="n">
        <v>62.25</v>
      </c>
      <c r="D88" s="28" t="n">
        <v>169</v>
      </c>
      <c r="E88" s="28" t="n">
        <v>67</v>
      </c>
    </row>
    <row r="89" customFormat="false" ht="15" hidden="false" customHeight="false" outlineLevel="0" collapsed="false">
      <c r="B89" s="28" t="n">
        <v>1962</v>
      </c>
      <c r="C89" s="30" t="n">
        <v>62.5</v>
      </c>
      <c r="D89" s="28" t="n">
        <v>169</v>
      </c>
      <c r="E89" s="28" t="n">
        <v>67</v>
      </c>
    </row>
    <row r="90" customFormat="false" ht="15" hidden="false" customHeight="false" outlineLevel="0" collapsed="false">
      <c r="B90" s="28" t="n">
        <v>1963</v>
      </c>
      <c r="C90" s="30" t="n">
        <v>62.75</v>
      </c>
      <c r="D90" s="28" t="n">
        <v>170</v>
      </c>
      <c r="E90" s="28" t="n">
        <v>67</v>
      </c>
    </row>
    <row r="91" customFormat="false" ht="15" hidden="false" customHeight="false" outlineLevel="0" collapsed="false">
      <c r="B91" s="28" t="n">
        <v>1964</v>
      </c>
      <c r="C91" s="30" t="n">
        <v>63</v>
      </c>
      <c r="D91" s="28" t="n">
        <v>171</v>
      </c>
      <c r="E91" s="28" t="n">
        <v>67</v>
      </c>
    </row>
    <row r="92" customFormat="false" ht="15" hidden="false" customHeight="false" outlineLevel="0" collapsed="false">
      <c r="B92" s="28" t="n">
        <v>1965</v>
      </c>
      <c r="C92" s="30" t="n">
        <v>63.25</v>
      </c>
      <c r="D92" s="28" t="n">
        <v>172</v>
      </c>
      <c r="E92" s="28" t="n">
        <v>67</v>
      </c>
    </row>
    <row r="93" customFormat="false" ht="15" hidden="false" customHeight="false" outlineLevel="0" collapsed="false">
      <c r="B93" s="28" t="n">
        <v>1966</v>
      </c>
      <c r="C93" s="30" t="n">
        <v>63.5</v>
      </c>
      <c r="D93" s="28" t="n">
        <v>172</v>
      </c>
      <c r="E93" s="28" t="n">
        <v>67</v>
      </c>
    </row>
    <row r="94" customFormat="false" ht="15" hidden="false" customHeight="false" outlineLevel="0" collapsed="false">
      <c r="B94" s="28" t="n">
        <v>1967</v>
      </c>
      <c r="C94" s="30" t="n">
        <v>63.75</v>
      </c>
      <c r="D94" s="28" t="n">
        <v>172</v>
      </c>
      <c r="E94" s="28" t="n">
        <v>67</v>
      </c>
    </row>
    <row r="95" customFormat="false" ht="15" hidden="false" customHeight="false" outlineLevel="0" collapsed="false">
      <c r="B95" s="28" t="n">
        <v>1968</v>
      </c>
      <c r="C95" s="30" t="n">
        <v>64</v>
      </c>
      <c r="D95" s="28" t="n">
        <v>172</v>
      </c>
      <c r="E95" s="28" t="n">
        <v>67</v>
      </c>
    </row>
    <row r="96" customFormat="false" ht="15" hidden="false" customHeight="false" outlineLevel="0" collapsed="false">
      <c r="B96" s="28" t="n">
        <v>1969</v>
      </c>
      <c r="C96" s="30" t="n">
        <v>64</v>
      </c>
      <c r="D96" s="28" t="n">
        <v>172</v>
      </c>
      <c r="E96" s="28" t="n">
        <v>67</v>
      </c>
    </row>
    <row r="97" customFormat="false" ht="15" hidden="false" customHeight="false" outlineLevel="0" collapsed="false">
      <c r="B97" s="28" t="n">
        <v>1970</v>
      </c>
      <c r="C97" s="30" t="n">
        <v>64</v>
      </c>
      <c r="D97" s="28" t="n">
        <v>172</v>
      </c>
      <c r="E97" s="28" t="n">
        <v>67</v>
      </c>
    </row>
    <row r="98" customFormat="false" ht="15" hidden="false" customHeight="false" outlineLevel="0" collapsed="false">
      <c r="B98" s="28" t="n">
        <v>1971</v>
      </c>
      <c r="C98" s="30" t="n">
        <v>64</v>
      </c>
      <c r="D98" s="28" t="n">
        <v>172</v>
      </c>
      <c r="E98" s="28" t="n">
        <v>67</v>
      </c>
    </row>
    <row r="99" customFormat="false" ht="15" hidden="false" customHeight="false" outlineLevel="0" collapsed="false">
      <c r="B99" s="28" t="n">
        <v>1972</v>
      </c>
      <c r="C99" s="30" t="n">
        <v>64</v>
      </c>
      <c r="D99" s="28" t="n">
        <v>172</v>
      </c>
      <c r="E99" s="28" t="n">
        <v>67</v>
      </c>
    </row>
    <row r="100" customFormat="false" ht="15" hidden="false" customHeight="false" outlineLevel="0" collapsed="false">
      <c r="B100" s="28" t="n">
        <v>1973</v>
      </c>
      <c r="C100" s="30" t="n">
        <v>64</v>
      </c>
      <c r="D100" s="28" t="n">
        <v>172</v>
      </c>
      <c r="E100" s="28" t="n">
        <v>67</v>
      </c>
    </row>
    <row r="101" customFormat="false" ht="15" hidden="false" customHeight="false" outlineLevel="0" collapsed="false">
      <c r="B101" s="28" t="n">
        <v>1974</v>
      </c>
      <c r="C101" s="30" t="n">
        <v>64</v>
      </c>
      <c r="D101" s="28" t="n">
        <v>172</v>
      </c>
      <c r="E101" s="28" t="n">
        <v>67</v>
      </c>
    </row>
    <row r="102" customFormat="false" ht="15" hidden="false" customHeight="false" outlineLevel="0" collapsed="false">
      <c r="B102" s="28" t="n">
        <v>1975</v>
      </c>
      <c r="C102" s="30" t="n">
        <v>64</v>
      </c>
      <c r="D102" s="28" t="n">
        <v>172</v>
      </c>
      <c r="E102" s="28" t="n">
        <v>67</v>
      </c>
    </row>
    <row r="103" customFormat="false" ht="15" hidden="false" customHeight="false" outlineLevel="0" collapsed="false">
      <c r="B103" s="28" t="n">
        <v>1976</v>
      </c>
      <c r="C103" s="30" t="n">
        <v>64</v>
      </c>
      <c r="D103" s="28" t="n">
        <v>172</v>
      </c>
      <c r="E103" s="28" t="n">
        <v>67</v>
      </c>
    </row>
    <row r="104" customFormat="false" ht="15" hidden="false" customHeight="false" outlineLevel="0" collapsed="false">
      <c r="B104" s="28" t="n">
        <v>1977</v>
      </c>
      <c r="C104" s="30" t="n">
        <v>64</v>
      </c>
      <c r="D104" s="28" t="n">
        <v>172</v>
      </c>
      <c r="E104" s="28" t="n">
        <v>67</v>
      </c>
    </row>
    <row r="105" customFormat="false" ht="15" hidden="false" customHeight="false" outlineLevel="0" collapsed="false">
      <c r="B105" s="28" t="n">
        <v>1978</v>
      </c>
      <c r="C105" s="30" t="n">
        <v>64</v>
      </c>
      <c r="D105" s="28" t="n">
        <v>172</v>
      </c>
      <c r="E105" s="28" t="n">
        <v>67</v>
      </c>
    </row>
    <row r="106" customFormat="false" ht="15" hidden="false" customHeight="false" outlineLevel="0" collapsed="false">
      <c r="B106" s="28" t="n">
        <v>1979</v>
      </c>
      <c r="C106" s="30" t="n">
        <v>64</v>
      </c>
      <c r="D106" s="28" t="n">
        <v>172</v>
      </c>
      <c r="E106" s="28" t="n">
        <v>67</v>
      </c>
    </row>
    <row r="107" customFormat="false" ht="15" hidden="false" customHeight="false" outlineLevel="0" collapsed="false">
      <c r="B107" s="28" t="n">
        <v>1980</v>
      </c>
      <c r="C107" s="30" t="n">
        <v>64</v>
      </c>
      <c r="D107" s="28" t="n">
        <v>172</v>
      </c>
      <c r="E107" s="28" t="n">
        <v>67</v>
      </c>
    </row>
    <row r="108" customFormat="false" ht="15" hidden="false" customHeight="false" outlineLevel="0" collapsed="false">
      <c r="B108" s="28" t="n">
        <v>1981</v>
      </c>
      <c r="C108" s="30" t="n">
        <v>64</v>
      </c>
      <c r="D108" s="28" t="n">
        <v>172</v>
      </c>
      <c r="E108" s="28" t="n">
        <v>67</v>
      </c>
    </row>
    <row r="109" customFormat="false" ht="15" hidden="false" customHeight="false" outlineLevel="0" collapsed="false">
      <c r="B109" s="28" t="n">
        <v>1982</v>
      </c>
      <c r="C109" s="30" t="n">
        <v>64</v>
      </c>
      <c r="D109" s="28" t="n">
        <v>172</v>
      </c>
      <c r="E109" s="28" t="n">
        <v>67</v>
      </c>
    </row>
    <row r="110" customFormat="false" ht="15" hidden="false" customHeight="false" outlineLevel="0" collapsed="false">
      <c r="B110" s="28" t="n">
        <v>1983</v>
      </c>
      <c r="C110" s="30" t="n">
        <v>64</v>
      </c>
      <c r="D110" s="28" t="n">
        <v>172</v>
      </c>
      <c r="E110" s="28" t="n">
        <v>67</v>
      </c>
    </row>
    <row r="111" customFormat="false" ht="15" hidden="false" customHeight="false" outlineLevel="0" collapsed="false">
      <c r="B111" s="28" t="n">
        <v>1984</v>
      </c>
      <c r="C111" s="30" t="n">
        <v>64</v>
      </c>
      <c r="D111" s="28" t="n">
        <v>172</v>
      </c>
      <c r="E111" s="28" t="n">
        <v>67</v>
      </c>
    </row>
    <row r="112" customFormat="false" ht="15" hidden="false" customHeight="false" outlineLevel="0" collapsed="false">
      <c r="B112" s="28" t="n">
        <v>1985</v>
      </c>
      <c r="C112" s="30" t="n">
        <v>64</v>
      </c>
      <c r="D112" s="28" t="n">
        <v>172</v>
      </c>
      <c r="E112" s="28" t="n">
        <v>67</v>
      </c>
    </row>
    <row r="113" customFormat="false" ht="15" hidden="false" customHeight="false" outlineLevel="0" collapsed="false">
      <c r="B113" s="28" t="n">
        <v>1986</v>
      </c>
      <c r="C113" s="30" t="n">
        <v>64</v>
      </c>
      <c r="D113" s="28" t="n">
        <v>172</v>
      </c>
      <c r="E113" s="28" t="n">
        <v>67</v>
      </c>
    </row>
    <row r="114" customFormat="false" ht="15" hidden="false" customHeight="false" outlineLevel="0" collapsed="false">
      <c r="B114" s="28" t="n">
        <v>1987</v>
      </c>
      <c r="C114" s="30" t="n">
        <v>64</v>
      </c>
      <c r="D114" s="28" t="n">
        <v>172</v>
      </c>
      <c r="E114" s="28" t="n">
        <v>67</v>
      </c>
    </row>
    <row r="115" customFormat="false" ht="15" hidden="false" customHeight="false" outlineLevel="0" collapsed="false">
      <c r="B115" s="28" t="n">
        <v>1988</v>
      </c>
      <c r="C115" s="30" t="n">
        <v>64</v>
      </c>
      <c r="D115" s="28" t="n">
        <v>172</v>
      </c>
      <c r="E115" s="28" t="n">
        <v>67</v>
      </c>
    </row>
    <row r="116" customFormat="false" ht="15" hidden="false" customHeight="false" outlineLevel="0" collapsed="false">
      <c r="B116" s="28" t="n">
        <v>1989</v>
      </c>
      <c r="C116" s="30" t="n">
        <v>64</v>
      </c>
      <c r="D116" s="28" t="n">
        <v>172</v>
      </c>
      <c r="E116" s="28" t="n">
        <v>67</v>
      </c>
    </row>
    <row r="117" customFormat="false" ht="15" hidden="false" customHeight="false" outlineLevel="0" collapsed="false">
      <c r="B117" s="28" t="n">
        <v>1990</v>
      </c>
      <c r="C117" s="30" t="n">
        <v>64</v>
      </c>
      <c r="D117" s="28" t="n">
        <v>172</v>
      </c>
      <c r="E117" s="28" t="n">
        <v>67</v>
      </c>
    </row>
    <row r="118" customFormat="false" ht="15" hidden="false" customHeight="false" outlineLevel="0" collapsed="false">
      <c r="B118" s="28" t="n">
        <v>1991</v>
      </c>
      <c r="C118" s="30" t="n">
        <v>64</v>
      </c>
      <c r="D118" s="28" t="n">
        <v>172</v>
      </c>
      <c r="E118" s="28" t="n">
        <v>67</v>
      </c>
    </row>
    <row r="119" customFormat="false" ht="15" hidden="false" customHeight="false" outlineLevel="0" collapsed="false">
      <c r="B119" s="28" t="n">
        <v>1992</v>
      </c>
      <c r="C119" s="30" t="n">
        <v>64</v>
      </c>
      <c r="D119" s="28" t="n">
        <v>172</v>
      </c>
      <c r="E119" s="28" t="n">
        <v>67</v>
      </c>
    </row>
    <row r="120" customFormat="false" ht="15" hidden="false" customHeight="false" outlineLevel="0" collapsed="false">
      <c r="B120" s="28" t="n">
        <v>1993</v>
      </c>
      <c r="C120" s="30" t="n">
        <v>64</v>
      </c>
      <c r="D120" s="28" t="n">
        <v>172</v>
      </c>
      <c r="E120" s="28" t="n">
        <v>67</v>
      </c>
    </row>
    <row r="121" customFormat="false" ht="15" hidden="false" customHeight="false" outlineLevel="0" collapsed="false">
      <c r="B121" s="28" t="n">
        <v>1994</v>
      </c>
      <c r="C121" s="30" t="n">
        <v>64</v>
      </c>
      <c r="D121" s="28" t="n">
        <v>172</v>
      </c>
      <c r="E121" s="28" t="n">
        <v>67</v>
      </c>
    </row>
    <row r="122" customFormat="false" ht="15" hidden="false" customHeight="false" outlineLevel="0" collapsed="false">
      <c r="B122" s="28" t="n">
        <v>1995</v>
      </c>
      <c r="C122" s="30" t="n">
        <v>64</v>
      </c>
      <c r="D122" s="28" t="n">
        <v>172</v>
      </c>
      <c r="E122" s="28" t="n">
        <v>67</v>
      </c>
    </row>
    <row r="123" customFormat="false" ht="15" hidden="false" customHeight="false" outlineLevel="0" collapsed="false">
      <c r="B123" s="21" t="s">
        <v>679</v>
      </c>
    </row>
    <row r="125" customFormat="false" ht="19.5" hidden="false" customHeight="true" outlineLevel="0" collapsed="false">
      <c r="A125" s="4" t="s">
        <v>680</v>
      </c>
      <c r="B125" s="5"/>
      <c r="C125" s="5"/>
      <c r="D125" s="5"/>
      <c r="E125" s="5"/>
      <c r="F125" s="5"/>
    </row>
    <row r="126" customFormat="false" ht="15" hidden="false" customHeight="false" outlineLevel="0" collapsed="false">
      <c r="B126" s="9" t="s">
        <v>681</v>
      </c>
      <c r="C126" s="37" t="n">
        <v>0.5</v>
      </c>
      <c r="E126" s="21" t="s">
        <v>682</v>
      </c>
    </row>
    <row r="127" customFormat="false" ht="15" hidden="false" customHeight="false" outlineLevel="0" collapsed="false">
      <c r="B127" s="9" t="s">
        <v>683</v>
      </c>
      <c r="C127" s="58" t="n">
        <v>0.0125</v>
      </c>
      <c r="E127" s="21" t="s">
        <v>684</v>
      </c>
    </row>
    <row r="128" customFormat="false" ht="15" hidden="false" customHeight="false" outlineLevel="0" collapsed="false">
      <c r="B128" s="9" t="s">
        <v>685</v>
      </c>
      <c r="C128" s="28" t="n">
        <v>20</v>
      </c>
      <c r="E128" s="21" t="s">
        <v>686</v>
      </c>
    </row>
    <row r="129" customFormat="false" ht="15" hidden="false" customHeight="false" outlineLevel="0" collapsed="false">
      <c r="B129" s="9" t="s">
        <v>687</v>
      </c>
      <c r="C129" s="58" t="n">
        <v>0.0125</v>
      </c>
      <c r="E129" s="21" t="s">
        <v>688</v>
      </c>
    </row>
    <row r="130" customFormat="false" ht="15" hidden="false" customHeight="false" outlineLevel="0" collapsed="false">
      <c r="B130" s="9" t="s">
        <v>689</v>
      </c>
      <c r="C130" s="29" t="n">
        <v>48060</v>
      </c>
      <c r="E130" s="21" t="s">
        <v>690</v>
      </c>
    </row>
    <row r="131" customFormat="false" ht="15" hidden="false" customHeight="false" outlineLevel="0" collapsed="false">
      <c r="B131" s="9" t="s">
        <v>691</v>
      </c>
      <c r="C131" s="29" t="n">
        <v>47100</v>
      </c>
      <c r="E131" s="21" t="s">
        <v>692</v>
      </c>
    </row>
    <row r="132" customFormat="false" ht="15" hidden="false" customHeight="false" outlineLevel="0" collapsed="false">
      <c r="B132" s="9" t="s">
        <v>693</v>
      </c>
      <c r="C132" s="28" t="n">
        <v>25</v>
      </c>
      <c r="E132" s="21" t="s">
        <v>694</v>
      </c>
    </row>
    <row r="133" customFormat="false" ht="15" hidden="false" customHeight="false" outlineLevel="0" collapsed="false">
      <c r="B133" s="9" t="s">
        <v>695</v>
      </c>
      <c r="C133" s="37" t="n">
        <v>0.1</v>
      </c>
      <c r="E133" s="21" t="s">
        <v>696</v>
      </c>
    </row>
    <row r="135" customFormat="false" ht="19.5" hidden="false" customHeight="true" outlineLevel="0" collapsed="false">
      <c r="A135" s="4" t="s">
        <v>697</v>
      </c>
      <c r="B135" s="5"/>
      <c r="C135" s="5"/>
      <c r="D135" s="5"/>
      <c r="E135" s="5"/>
      <c r="F135" s="5"/>
    </row>
    <row r="136" customFormat="false" ht="15" hidden="false" customHeight="false" outlineLevel="0" collapsed="false">
      <c r="B136" s="9" t="s">
        <v>698</v>
      </c>
      <c r="C136" s="87" t="n">
        <v>20.1877</v>
      </c>
      <c r="E136" s="21" t="s">
        <v>699</v>
      </c>
    </row>
    <row r="137" customFormat="false" ht="15" hidden="false" customHeight="false" outlineLevel="0" collapsed="false">
      <c r="B137" s="9" t="s">
        <v>700</v>
      </c>
      <c r="C137" s="87" t="n">
        <v>1.4386</v>
      </c>
      <c r="E137" s="21" t="s">
        <v>699</v>
      </c>
    </row>
    <row r="138" customFormat="false" ht="15" hidden="false" customHeight="false" outlineLevel="0" collapsed="false">
      <c r="B138" s="9" t="s">
        <v>701</v>
      </c>
      <c r="C138" s="58" t="n">
        <v>0.062</v>
      </c>
      <c r="E138" s="21" t="s">
        <v>702</v>
      </c>
    </row>
    <row r="139" customFormat="false" ht="15" hidden="false" customHeight="false" outlineLevel="0" collapsed="false">
      <c r="B139" s="9" t="s">
        <v>703</v>
      </c>
      <c r="C139" s="58" t="n">
        <v>0.17</v>
      </c>
      <c r="E139" s="21" t="s">
        <v>704</v>
      </c>
    </row>
    <row r="140" customFormat="false" ht="15" hidden="false" customHeight="false" outlineLevel="0" collapsed="false">
      <c r="B140" s="9" t="s">
        <v>705</v>
      </c>
      <c r="C140" s="37" t="n">
        <v>0.1</v>
      </c>
      <c r="E140" s="21" t="s">
        <v>706</v>
      </c>
    </row>
    <row r="141" customFormat="false" ht="15" hidden="false" customHeight="false" outlineLevel="0" collapsed="false">
      <c r="B141" s="9" t="s">
        <v>707</v>
      </c>
      <c r="C141" s="29" t="n">
        <v>2359</v>
      </c>
      <c r="E141" s="21" t="s">
        <v>692</v>
      </c>
    </row>
    <row r="142" customFormat="false" ht="15" hidden="false" customHeight="false" outlineLevel="0" collapsed="false">
      <c r="B142" s="9" t="s">
        <v>708</v>
      </c>
      <c r="C142" s="28" t="n">
        <v>0</v>
      </c>
      <c r="E142" s="21" t="s">
        <v>709</v>
      </c>
    </row>
    <row r="144" customFormat="false" ht="19.5" hidden="false" customHeight="true" outlineLevel="0" collapsed="false">
      <c r="A144" s="4" t="s">
        <v>710</v>
      </c>
      <c r="B144" s="5"/>
      <c r="C144" s="5"/>
      <c r="D144" s="5"/>
      <c r="E144" s="5"/>
      <c r="F144" s="5"/>
    </row>
    <row r="145" customFormat="false" ht="15" hidden="false" customHeight="false" outlineLevel="0" collapsed="false">
      <c r="B145" s="9" t="s">
        <v>711</v>
      </c>
      <c r="C145" s="58" t="n">
        <v>0.083</v>
      </c>
      <c r="E145" s="21" t="s">
        <v>712</v>
      </c>
    </row>
    <row r="146" customFormat="false" ht="15" hidden="false" customHeight="false" outlineLevel="0" collapsed="false">
      <c r="B146" s="9" t="s">
        <v>713</v>
      </c>
      <c r="C146" s="58" t="n">
        <v>0.005</v>
      </c>
      <c r="E146" s="21"/>
    </row>
    <row r="147" customFormat="false" ht="15" hidden="false" customHeight="false" outlineLevel="0" collapsed="false">
      <c r="B147" s="9" t="s">
        <v>714</v>
      </c>
      <c r="C147" s="58" t="n">
        <v>0.003</v>
      </c>
      <c r="E147" s="21" t="s">
        <v>715</v>
      </c>
    </row>
    <row r="148" customFormat="false" ht="15" hidden="false" customHeight="false" outlineLevel="0" collapsed="false">
      <c r="B148" s="9" t="s">
        <v>716</v>
      </c>
      <c r="C148" s="58" t="n">
        <v>0.01</v>
      </c>
      <c r="E148" s="21"/>
    </row>
    <row r="149" customFormat="false" ht="15" hidden="false" customHeight="false" outlineLevel="0" collapsed="false">
      <c r="B149" s="17" t="s">
        <v>717</v>
      </c>
      <c r="C149" s="88" t="n">
        <f aca="false">C145+C146+C147</f>
        <v>0.091</v>
      </c>
    </row>
    <row r="150" customFormat="false" ht="15" hidden="false" customHeight="false" outlineLevel="0" collapsed="false">
      <c r="B150" s="17" t="s">
        <v>718</v>
      </c>
      <c r="C150" s="88" t="n">
        <f aca="false">C145+C146+C147+C148</f>
        <v>0.101</v>
      </c>
    </row>
    <row r="152" customFormat="false" ht="19.5" hidden="false" customHeight="true" outlineLevel="0" collapsed="false">
      <c r="A152" s="4" t="s">
        <v>719</v>
      </c>
      <c r="B152" s="5"/>
      <c r="C152" s="5"/>
      <c r="D152" s="5"/>
      <c r="E152" s="5"/>
      <c r="F152" s="5"/>
    </row>
    <row r="153" customFormat="false" ht="15" hidden="false" customHeight="false" outlineLevel="0" collapsed="false">
      <c r="B153" s="9" t="s">
        <v>720</v>
      </c>
      <c r="C153" s="37" t="n">
        <v>0.02</v>
      </c>
      <c r="E153" s="21" t="s">
        <v>721</v>
      </c>
    </row>
    <row r="154" customFormat="false" ht="15" hidden="false" customHeight="false" outlineLevel="0" collapsed="false">
      <c r="B154" s="9" t="s">
        <v>722</v>
      </c>
      <c r="C154" s="37" t="n">
        <v>0.04</v>
      </c>
      <c r="E154" s="21" t="s">
        <v>723</v>
      </c>
    </row>
    <row r="155" customFormat="false" ht="15" hidden="false" customHeight="false" outlineLevel="0" collapsed="false">
      <c r="B155" s="9" t="s">
        <v>724</v>
      </c>
      <c r="C155" s="37" t="n">
        <v>0.025</v>
      </c>
      <c r="E155" s="21" t="s">
        <v>725</v>
      </c>
    </row>
    <row r="156" customFormat="false" ht="15" hidden="false" customHeight="false" outlineLevel="0" collapsed="false">
      <c r="B156" s="9" t="s">
        <v>726</v>
      </c>
      <c r="C156" s="37" t="n">
        <v>0.015</v>
      </c>
      <c r="E156" s="21" t="s">
        <v>727</v>
      </c>
    </row>
    <row r="157" customFormat="false" ht="15" hidden="false" customHeight="false" outlineLevel="0" collapsed="false">
      <c r="B157" s="9" t="s">
        <v>728</v>
      </c>
      <c r="C157" s="28" t="n">
        <v>92</v>
      </c>
      <c r="E157" s="21" t="s">
        <v>729</v>
      </c>
    </row>
    <row r="158" customFormat="false" ht="15" hidden="false" customHeight="false" outlineLevel="0" collapsed="false">
      <c r="B158" s="9" t="s">
        <v>730</v>
      </c>
      <c r="C158" s="37" t="n">
        <v>0.04</v>
      </c>
      <c r="E158" s="21" t="s">
        <v>731</v>
      </c>
    </row>
    <row r="159" customFormat="false" ht="15" hidden="false" customHeight="false" outlineLevel="0" collapsed="false">
      <c r="B159" s="9" t="s">
        <v>732</v>
      </c>
      <c r="C159" s="37" t="n">
        <v>0.85</v>
      </c>
      <c r="E159" s="21" t="s">
        <v>733</v>
      </c>
    </row>
    <row r="161" customFormat="false" ht="19.5" hidden="false" customHeight="true" outlineLevel="0" collapsed="false">
      <c r="A161" s="4" t="s">
        <v>734</v>
      </c>
      <c r="B161" s="5"/>
      <c r="C161" s="5"/>
      <c r="D161" s="5"/>
      <c r="E161" s="5"/>
      <c r="F161" s="5"/>
    </row>
    <row r="162" customFormat="false" ht="15" hidden="false" customHeight="false" outlineLevel="0" collapsed="false">
      <c r="B162" s="9" t="s">
        <v>735</v>
      </c>
      <c r="C162" s="37" t="n">
        <v>0.1</v>
      </c>
      <c r="E162" s="21" t="s">
        <v>736</v>
      </c>
    </row>
    <row r="163" customFormat="false" ht="15" hidden="false" customHeight="false" outlineLevel="0" collapsed="false">
      <c r="B163" s="9" t="s">
        <v>737</v>
      </c>
      <c r="C163" s="28" t="n">
        <v>8</v>
      </c>
      <c r="E163" s="21" t="s">
        <v>738</v>
      </c>
    </row>
    <row r="164" customFormat="false" ht="15" hidden="false" customHeight="false" outlineLevel="0" collapsed="false">
      <c r="B164" s="9" t="s">
        <v>739</v>
      </c>
      <c r="C164" s="37" t="n">
        <v>0.1</v>
      </c>
      <c r="E164" s="21" t="s">
        <v>740</v>
      </c>
    </row>
    <row r="165" customFormat="false" ht="15" hidden="false" customHeight="false" outlineLevel="0" collapsed="false">
      <c r="B165" s="9" t="s">
        <v>741</v>
      </c>
      <c r="C165" s="37" t="n">
        <v>0.3</v>
      </c>
      <c r="E165" s="21" t="s">
        <v>742</v>
      </c>
    </row>
    <row r="166" customFormat="false" ht="15" hidden="false" customHeight="false" outlineLevel="0" collapsed="false">
      <c r="B166" s="9" t="s">
        <v>743</v>
      </c>
      <c r="C166" s="58" t="n">
        <v>0.172</v>
      </c>
      <c r="E166" s="21"/>
    </row>
    <row r="167" customFormat="false" ht="15" hidden="false" customHeight="false" outlineLevel="0" collapsed="false">
      <c r="B167" s="9" t="s">
        <v>744</v>
      </c>
      <c r="C167" s="58" t="n">
        <v>0.075</v>
      </c>
      <c r="E167" s="21" t="s">
        <v>745</v>
      </c>
    </row>
    <row r="168" customFormat="false" ht="15" hidden="false" customHeight="false" outlineLevel="0" collapsed="false">
      <c r="B168" s="9" t="s">
        <v>746</v>
      </c>
      <c r="C168" s="29" t="n">
        <v>9200</v>
      </c>
      <c r="E168" s="21" t="s">
        <v>747</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2026-09-10T16:56:21Z</dcterms:created>
  <dc:creator>Simulateur patrimonial</dc:creator>
  <dc:description/>
  <dc:language>en-US</dc:language>
  <cp:lastModifiedBy/>
  <dcterms:modified xsi:type="dcterms:W3CDTF">2026-09-10T16:56:21Z</dcterms:modified>
  <cp:revision>0</cp:revision>
  <dc:subject>Aide à l'entretien patrimonial : dévolution, droits de succession, retraite</dc:subject>
  <dc:title>Simulateur patrimonial — Succession &amp; Retraite</dc:title>
</cp:coreProperties>
</file>

<file path=docProps/custom.xml><?xml version="1.0" encoding="utf-8"?>
<Properties xmlns="http://schemas.openxmlformats.org/officeDocument/2006/custom-properties" xmlns:vt="http://schemas.openxmlformats.org/officeDocument/2006/docPropsVTypes"/>
</file>