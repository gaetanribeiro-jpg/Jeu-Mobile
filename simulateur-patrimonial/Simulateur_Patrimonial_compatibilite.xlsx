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Client" sheetId="2" state="visible" r:id="rId2"/>
    <sheet name="Patrimoine" sheetId="3" state="visible" r:id="rId3"/>
    <sheet name="Devolution" sheetId="4" state="visible" r:id="rId4"/>
    <sheet name="Droits_Succession" sheetId="5" state="visible" r:id="rId5"/>
    <sheet name="Assurance_Vie" sheetId="6" state="visible" r:id="rId6"/>
    <sheet name="Retraite_Carriere" sheetId="7" state="visible" r:id="rId7"/>
    <sheet name="Retraite_Estimation" sheetId="8" state="visible" r:id="rId8"/>
    <sheet name="Retraite_Objectif" sheetId="9" state="visible" r:id="rId9"/>
    <sheet name="Synthese" sheetId="10" state="visible" r:id="rId10"/>
    <sheet name="Parametres" sheetId="11" state="visible" r:id="rId11"/>
  </sheets>
  <definedNames>
    <definedName name="DateSimu">Client!$C$5</definedName>
    <definedName name="DateNaisClient">Client!$C$14</definedName>
    <definedName name="DateNaisConjoint">Client!$D$14</definedName>
    <definedName name="AgeClient">Client!$C$15</definedName>
    <definedName name="AgeConjoint">Client!$D$15</definedName>
    <definedName name="NomClient">Client!$C$16</definedName>
    <definedName name="NomConjoint">Client!$D$16</definedName>
    <definedName name="SitMat">Client!$C$20</definedName>
    <definedName name="RegimeMat">Client!$C$21</definedName>
    <definedName name="DDV">Client!$C$23</definedName>
    <definedName name="Testament">Client!$C$24</definedName>
    <definedName name="EnfPrenom">Client!$B$28:$B$35</definedName>
    <definedName name="EnfNaiss">Client!$C$28:$C$35</definedName>
    <definedName name="EnfAge">Client!$D$28:$D$35</definedName>
    <definedName name="EnfFiliation">Client!$E$28:$E$35</definedName>
    <definedName name="EnfVivant">Client!$F$28:$F$35</definedName>
    <definedName name="EnfHandicap">Client!$G$28:$G$35</definedName>
    <definedName name="NbEnfCommuns">Client!$C$37</definedName>
    <definedName name="NbEnfPropClient">Client!$C$38</definedName>
    <definedName name="NbEnfPropConjoint">Client!$C$39</definedName>
    <definedName name="NbEnfClient">Client!$C$40</definedName>
    <definedName name="NbEnfConjoint">Client!$C$41</definedName>
    <definedName name="NbParentsClient">Client!$C$47</definedName>
    <definedName name="NbParentsConjoint">Client!$D$47</definedName>
    <definedName name="NbFreresClient">Client!$C$48</definedName>
    <definedName name="NbFreresConjoint">Client!$D$48</definedName>
    <definedName name="NbNeveuxClient">Client!$C$49</definedName>
    <definedName name="NbNeveuxConjoint">Client!$D$49</definedName>
    <definedName name="StatutClient">Client!$C$53</definedName>
    <definedName name="StatutConjoint">Client!$D$53</definedName>
    <definedName name="RevBrutClient">Client!$C$56</definedName>
    <definedName name="RevBrutConjoint">Client!$D$56</definedName>
    <definedName name="RNI_Client">Client!$C$57</definedName>
    <definedName name="RNI_Conjoint">Client!$D$57</definedName>
    <definedName name="RevNetMensClient">Client!$C$58</definedName>
    <definedName name="RevNetMensConjoint">Client!$D$58</definedName>
    <definedName name="PartsFiscales">Client!$C$61</definedName>
    <definedName name="RNI_Foyer">Client!$C$62</definedName>
    <definedName name="QuotientFamilial">Client!$C$63</definedName>
    <definedName name="IR_Estime">Client!$C$64</definedName>
    <definedName name="TMI">Client!$C$66</definedName>
    <definedName name="Defunt">Patrimoine!$C$5</definedName>
    <definedName name="NomDefunt">Patrimoine!$C$6</definedName>
    <definedName name="NomSurvivant">Patrimoine!$C$7</definedName>
    <definedName name="AgeUsufruitier">Patrimoine!$C$8</definedName>
    <definedName name="TauxUsufruit">Patrimoine!$C$9</definedName>
    <definedName name="ActCategorie">Patrimoine!$B$13:$B$30</definedName>
    <definedName name="ActValeurNette">Patrimoine!$H$13:$H$30</definedName>
    <definedName name="ActPartSucc">Patrimoine!$J$13:$J$30</definedName>
    <definedName name="ActDetention">Patrimoine!$E$13:$E$30</definedName>
    <definedName name="ActifNetFoyer">Patrimoine!$H$31</definedName>
    <definedName name="ActifSuccBrut">Patrimoine!$J$31</definedName>
    <definedName name="DetteImmoFoyer">Patrimoine!$G$31</definedName>
    <definedName name="PassifDiversFoyer">Patrimoine!$D$42</definedName>
    <definedName name="PassifDiversDefunt">Patrimoine!$J$42</definedName>
    <definedName name="OccupationRP">Patrimoine!$C$45</definedName>
    <definedName name="ForfaitMobilierOn">Patrimoine!$C$46</definedName>
    <definedName name="ActifSuccBrutRef">Patrimoine!$D$48</definedName>
    <definedName name="ForfaitMobilierMontant">Patrimoine!$D$49</definedName>
    <definedName name="MasseCivile">Patrimoine!$D$52</definedName>
    <definedName name="AbatRPMontant">Patrimoine!$D$53</definedName>
    <definedName name="MasseFiscale">Patrimoine!$D$54</definedName>
    <definedName name="CoefFiscal">Patrimoine!$D$55</definedName>
    <definedName name="DonNom">Patrimoine!$B$59:$B$66</definedName>
    <definedName name="DonMontant">Patrimoine!$F$59:$F$66</definedName>
    <definedName name="DonAbatConso">Patrimoine!$H$59:$H$66</definedName>
    <definedName name="PatBrutFoyer">Patrimoine!$D$71</definedName>
    <definedName name="DetteFoyer">Patrimoine!$D$72</definedName>
    <definedName name="PatNetHorsAV">Patrimoine!$D$73</definedName>
    <definedName name="PatAV">Patrimoine!$D$74</definedName>
    <definedName name="PatrimoineNetGlobal">Patrimoine!$D$75</definedName>
    <definedName name="NbEnfDefunt">Devolution!$C$9</definedName>
    <definedName name="NbEnfNonCommuns">Devolution!$C$10</definedName>
    <definedName name="NbParentsDefunt">Devolution!$C$11</definedName>
    <definedName name="NbFreresDefunt">Devolution!$C$12</definedName>
    <definedName name="ConjHeritier">Devolution!$C$14</definedName>
    <definedName name="OptionConjoint">Devolution!$C$19</definedName>
    <definedName name="ConjEffectif">Devolution!$C$20</definedName>
    <definedName name="Reserve">Devolution!$C$23</definedName>
    <definedName name="QD">Devolution!$C$24</definedName>
    <definedName name="Q_ConjPP">Devolution!$C$27</definedName>
    <definedName name="Q_ConjUS">Devolution!$C$28</definedName>
    <definedName name="Q_EnfPP">Devolution!$C$29</definedName>
    <definedName name="Q_EnfNP">Devolution!$C$30</definedName>
    <definedName name="Q_Parents">Devolution!$C$31</definedName>
    <definedName name="Q_Freres">Devolution!$C$32</definedName>
    <definedName name="Q_Autres">Devolution!$C$33</definedName>
    <definedName name="LegsBenef">Devolution!$B$39:$B$42</definedName>
    <definedName name="LegsLien">Devolution!$C$39:$C$42</definedName>
    <definedName name="LegsMontant">Devolution!$D$39:$D$42</definedName>
    <definedName name="TotalLegs">Devolution!$D$43</definedName>
    <definedName name="MasseDevolution">Devolution!$D$45</definedName>
    <definedName name="HerNom">Devolution!$B$49:$B$68</definedName>
    <definedName name="HerLien">Devolution!$C$49:$C$68</definedName>
    <definedName name="HerPresent">Devolution!$D$49:$D$68</definedName>
    <definedName name="HerValeur">Devolution!$K$49:$K$68</definedName>
    <definedName name="HerHandicap">Devolution!$L$49:$L$68</definedName>
    <definedName name="DrAbatNet">Droits_Succession!$K$11:$K$30</definedName>
    <definedName name="DrBaseAvantAbat">Droits_Succession!$G$11:$G$30</definedName>
    <definedName name="DrDroits">Droits_Succession!$N$11:$N$30</definedName>
    <definedName name="DrNom">Droits_Succession!$B$11:$B$30</definedName>
    <definedName name="TotalDroits">Droits_Succession!$N$31</definedName>
    <definedName name="CoutTransmission">Droits_Succession!$D$36</definedName>
    <definedName name="PatrimoineTransmis">Droits_Succession!$D$37</definedName>
    <definedName name="TauxFrottement">Droits_Succession!$D$38</definedName>
    <definedName name="CmpOptionA">Droits_Succession!$E$52</definedName>
    <definedName name="CmpOptionB">Droits_Succession!$G$52</definedName>
    <definedName name="CmpOptionC">Droits_Succession!$I$52</definedName>
    <definedName name="CtrNom">Assurance_Vie!$B$6:$B$11</definedName>
    <definedName name="CtrCapitalDeces">Assurance_Vie!$F$6:$F$11</definedName>
    <definedName name="CtrPrimes70Plus">Assurance_Vie!$H$6:$H$11</definedName>
    <definedName name="CtrCap70Moins">Assurance_Vie!$J$6:$J$11</definedName>
    <definedName name="CtrDenoue">Assurance_Vie!$L$6:$L$11</definedName>
    <definedName name="AV_ValeurRachat">Assurance_Vie!$E$12</definedName>
    <definedName name="AV_TotalPrimes70Plus">Assurance_Vie!$H$12</definedName>
    <definedName name="ClauseContrat">Assurance_Vie!$B$17:$B$30</definedName>
    <definedName name="ClauseBenef">Assurance_Vie!$C$17:$C$30</definedName>
    <definedName name="ClausePct">Assurance_Vie!$E$17:$E$30</definedName>
    <definedName name="ClauseCapital">Assurance_Vie!$F$17:$F$30</definedName>
    <definedName name="ClauseCap70Moins">Assurance_Vie!$G$17:$G$30</definedName>
    <definedName name="ClausePrimes70Plus">Assurance_Vie!$H$17:$H$30</definedName>
    <definedName name="AV_CapitalTotal">Assurance_Vie!$F$31</definedName>
    <definedName name="AV_Primes70PlusTransmises">Assurance_Vie!$H$31</definedName>
    <definedName name="AV_BenefNom">Assurance_Vie!$B$37:$B$44</definedName>
    <definedName name="AV_Exonere">Assurance_Vie!$D$37:$D$44</definedName>
    <definedName name="AV_AbatUtilise">Assurance_Vie!$F$37:$F$44</definedName>
    <definedName name="AV_Taxable757">Assurance_Vie!$K$37:$K$44</definedName>
    <definedName name="AV_Prelevement990">Assurance_Vie!$H$45</definedName>
    <definedName name="Rt_Personne">Retraite_Carriere!$C$5</definedName>
    <definedName name="Rt_Nom">Retraite_Carriere!$C$6</definedName>
    <definedName name="Rt_DateNais">Retraite_Carriere!$C$7</definedName>
    <definedName name="Rt_AnneeNais">Retraite_Carriere!$C$8</definedName>
    <definedName name="Rt_AgeActuel">Retraite_Carriere!$C$9</definedName>
    <definedName name="Rt_Statut">Retraite_Carriere!$C$10</definedName>
    <definedName name="Rt_SalaireBrut">Retraite_Carriere!$C$11</definedName>
    <definedName name="Rt_RevNetMens">Retraite_Carriere!$C$12</definedName>
    <definedName name="Rt_NbEnfants">Retraite_Carriere!$C$13</definedName>
    <definedName name="Rt_AgeLegal">Retraite_Carriere!$D$18</definedName>
    <definedName name="Rt_DureeRequise">Retraite_Carriere!$D$19</definedName>
    <definedName name="Rt_AgeTP">Retraite_Carriere!$D$20</definedName>
    <definedName name="Rt_TrimReleve">Retraite_Carriere!$C$24</definedName>
    <definedName name="Rt_AnneeReleve">Retraite_Carriere!$C$25</definedName>
    <definedName name="Rt_AgeReleve">Retraite_Carriere!$C$26</definedName>
    <definedName name="Rt_TrimMajo">Retraite_Carriere!$C$27</definedName>
    <definedName name="Rt_TrimTotalReleve">Retraite_Carriere!$C$28</definedName>
    <definedName name="Rt_AgeTauxPlein">Retraite_Carriere!$C$29</definedName>
    <definedName name="Rt_AgeDepart">Retraite_Carriere!$C$30</definedName>
    <definedName name="Rt_ModeSAM">Retraite_Carriere!$C$33</definedName>
    <definedName name="Rt_SAM_Saisi">Retraite_Carriere!$C$34</definedName>
    <definedName name="Rt_SAM_Auto">Retraite_Carriere!$C$35</definedName>
    <definedName name="Rt_SAM">Retraite_Carriere!$C$36</definedName>
    <definedName name="Rt_PointsReleve">Retraite_Carriere!$C$38</definedName>
    <definedName name="Rt_PointsAnnuels">Retraite_Carriere!$C$39</definedName>
    <definedName name="Rt_ScenAges">Retraite_Estimation!$D$8:$I$8</definedName>
    <definedName name="Rt_ScenPensionNetteMens">Retraite_Estimation!$D$34:$I$34</definedName>
    <definedName name="Rt_PensionNetteMens">Retraite_Estimation!$J$34</definedName>
    <definedName name="Rt_PensionNetteAn">Retraite_Estimation!$J$33</definedName>
    <definedName name="Rt_PensionBruteMens">Retraite_Estimation!$J$31</definedName>
    <definedName name="Rt_TauxRemplacement">Retraite_Estimation!$J$36</definedName>
    <definedName name="Ob_Mode">Retraite_Objectif!$C$5</definedName>
    <definedName name="Ob_Montant">Retraite_Objectif!$C$6</definedName>
    <definedName name="Ob_Pct">Retraite_Objectif!$C$7</definedName>
    <definedName name="Ob_Objectif">Retraite_Objectif!$C$8</definedName>
    <definedName name="Ob_AutresRevenus">Retraite_Objectif!$C$12</definedName>
    <definedName name="Ob_Ressources">Retraite_Objectif!$C$13</definedName>
    <definedName name="Ob_EcartMens">Retraite_Objectif!$C$14</definedName>
    <definedName name="Ob_EcartAn">Retraite_Objectif!$C$15</definedName>
    <definedName name="Ob_Methode">Retraite_Objectif!$C$19</definedName>
    <definedName name="Ob_DureeRestit">Retraite_Objectif!$C$22</definedName>
    <definedName name="Ob_TauxReelRestit">Retraite_Objectif!$C$23</definedName>
    <definedName name="Ob_CapitalNecessaire">Retraite_Objectif!$C$24</definedName>
    <definedName name="Ob_EpargneActuelle">Retraite_Objectif!$C$27</definedName>
    <definedName name="Ob_VersementsActuels">Retraite_Objectif!$C$28</definedName>
    <definedName name="Ob_AnneesRestantes">Retraite_Objectif!$C$29</definedName>
    <definedName name="Ob_MoisRestants">Retraite_Objectif!$C$30</definedName>
    <definedName name="Ob_TauxReelConstit">Retraite_Objectif!$C$31</definedName>
    <definedName name="Ob_TauxMensuel">Retraite_Objectif!$C$32</definedName>
    <definedName name="Ob_CapitalProjete">Retraite_Objectif!$C$33</definedName>
    <definedName name="Ob_CapitalManquant">Retraite_Objectif!$C$34</definedName>
    <definedName name="Ob_EffortMensuel">Retraite_Objectif!$C$37</definedName>
    <definedName name="Ob_EffortAnnuel">Retraite_Objectif!$C$38</definedName>
    <definedName name="Ob_PlafondPER">Retraite_Objectif!$C$45</definedName>
    <definedName name="AbatSuccDisponibles">Synthese!$C$49</definedName>
    <definedName name="AbatAVDisponibles">Synthese!$C$50</definedName>
    <definedName name="LiquiditesSucc">Synthese!$C$51</definedName>
    <definedName name="AbatLien">Parametres!$B$7:$B$18</definedName>
    <definedName name="AbatMontant">Parametres!$C$7:$C$18</definedName>
    <definedName name="AbatCat">Parametres!$D$7:$D$18</definedName>
    <definedName name="BarCat">Parametres!$B$22:$B$33</definedName>
    <definedName name="BarSeuil">Parametres!$C$22:$C$33</definedName>
    <definedName name="BarTaux">Parametres!$D$22:$D$33</definedName>
    <definedName name="BarPrev">Parametres!$E$22:$E$33</definedName>
    <definedName name="UsuAgeMin">Parametres!$B$38:$B$46</definedName>
    <definedName name="UsuUS">Parametres!$D$38:$D$46</definedName>
    <definedName name="UsuNP">Parametres!$E$38:$E$46</definedName>
    <definedName name="AbatHandicap">Parametres!$C$50</definedName>
    <definedName name="AbatRP">Parametres!$C$51</definedName>
    <definedName name="ForfaitMobilier">Parametres!$C$52</definedName>
    <definedName name="FraisFuneraires">Parametres!$C$53</definedName>
    <definedName name="RappelDonations">Parametres!$C$54</definedName>
    <definedName name="DonFamilial">Parametres!$C$55</definedName>
    <definedName name="AV_Abat990">Parametres!$C$58</definedName>
    <definedName name="AV_Seuil20">Parametres!$C$59</definedName>
    <definedName name="AV_Taux1">Parametres!$C$60</definedName>
    <definedName name="AV_Taux2">Parametres!$C$61</definedName>
    <definedName name="AV_Abat757">Parametres!$C$62</definedName>
    <definedName name="IR_Seuil">Parametres!$B$67:$B$71</definedName>
    <definedName name="IR_Taux">Parametres!$C$67:$C$71</definedName>
    <definedName name="IR_Prev">Parametres!$D$67:$D$71</definedName>
    <definedName name="GenAnnee">Parametres!$B$77:$B$122</definedName>
    <definedName name="GenAgeLegal">Parametres!$C$77:$C$122</definedName>
    <definedName name="GenDuree">Parametres!$D$77:$D$122</definedName>
    <definedName name="GenAgeTP">Parametres!$E$77:$E$122</definedName>
    <definedName name="TauxPlein">Parametres!$C$126</definedName>
    <definedName name="DecoteTrim">Parametres!$C$127</definedName>
    <definedName name="DecoteMax">Parametres!$C$128</definedName>
    <definedName name="SurcoteTrim">Parametres!$C$129</definedName>
    <definedName name="PASS">Parametres!$C$130</definedName>
    <definedName name="PASS_N1">Parametres!$C$131</definedName>
    <definedName name="NbAnneesSAM">Parametres!$C$132</definedName>
    <definedName name="MajEnfants">Parametres!$C$133</definedName>
    <definedName name="ArrcoAchat">Parametres!$C$136</definedName>
    <definedName name="ArrcoService">Parametres!$C$137</definedName>
    <definedName name="ArrcoT1">Parametres!$C$138</definedName>
    <definedName name="ArrcoT2">Parametres!$C$139</definedName>
    <definedName name="ArrcoMajFam">Parametres!$C$140</definedName>
    <definedName name="ArrcoMajPlafond">Parametres!$C$141</definedName>
    <definedName name="ArrcoCoefOn">Parametres!$C$142</definedName>
    <definedName name="PS_CSG">Parametres!$C$145</definedName>
    <definedName name="PS_CRDS">Parametres!$C$146</definedName>
    <definedName name="PS_CASA">Parametres!$C$147</definedName>
    <definedName name="PS_Maladie">Parametres!$C$148</definedName>
    <definedName name="PS_Base">Parametres!$C$149</definedName>
    <definedName name="PS_Comp">Parametres!$C$150</definedName>
    <definedName name="Inflation">Parametres!$C$153</definedName>
    <definedName name="RendConstit">Parametres!$C$154</definedName>
    <definedName name="RendRestit">Parametres!$C$155</definedName>
    <definedName name="ProgSalaire">Parametres!$C$156</definedName>
    <definedName name="EsperanceVie">Parametres!$C$157</definedName>
    <definedName name="TauxRente">Parametres!$C$158</definedName>
    <definedName name="CoefSAM">Parametres!$C$159</definedName>
    <definedName name="PER_Taux">Parametres!$C$162</definedName>
    <definedName name="PER_PlafondPASS">Parametres!$C$163</definedName>
    <definedName name="PER_PlancherPASS">Parametres!$C$164</definedName>
    <definedName name="PFU">Parametres!$C$165</definedName>
    <definedName name="PS_Placement">Parametres!$C$166</definedName>
    <definedName name="AV_Taux8ans">Parametres!$C$167</definedName>
    <definedName name="AV_AbatAnnuel">Parametres!$C$168</definedName>
  </definedNames>
  <calcPr calcId="124519" fullCalcOnLoad="1"/>
</workbook>
</file>

<file path=xl/styles.xml><?xml version="1.0" encoding="utf-8"?>
<styleSheet xmlns="http://schemas.openxmlformats.org/spreadsheetml/2006/main">
  <numFmts count="8">
    <numFmt numFmtId="164" formatCode="DD/MM/YYYY"/>
    <numFmt numFmtId="165" formatCode="yyyy-mm-dd"/>
    <numFmt numFmtId="166" formatCode="#,##0;[Red]-#,##0;&quot;-&quot;"/>
    <numFmt numFmtId="167" formatCode="#,##0 &quot;€&quot;;[Red]-#,##0 &quot;€&quot;;&quot;-&quot;"/>
    <numFmt numFmtId="168" formatCode="0.0%;[Red]-0.0%;&quot;-&quot;"/>
    <numFmt numFmtId="169" formatCode="0.00%;[Red]-0.00%;&quot;-&quot;"/>
    <numFmt numFmtId="170" formatCode="0.0000%"/>
    <numFmt numFmtId="171" formatCode="#,##0.0000 &quot;€&quot;"/>
  </numFmts>
  <fonts count="21">
    <font>
      <name val="Calibri"/>
      <family val="2"/>
      <color theme="1"/>
      <sz val="11"/>
      <scheme val="minor"/>
    </font>
    <font>
      <name val="Arial"/>
      <b val="1"/>
      <color rgb="00FFFFFF"/>
      <sz val="15"/>
    </font>
    <font>
      <name val="Arial"/>
      <i val="1"/>
      <color rgb="00808080"/>
      <sz val="9"/>
    </font>
    <font>
      <name val="Arial"/>
      <b val="1"/>
      <color rgb="00FFFFFF"/>
      <sz val="10"/>
    </font>
    <font>
      <name val="Arial"/>
      <color rgb="00000000"/>
      <sz val="10"/>
    </font>
    <font>
      <name val="Arial"/>
      <color rgb="000000FF"/>
      <sz val="10"/>
    </font>
    <font>
      <name val="Arial"/>
      <color rgb="00008000"/>
      <sz val="10"/>
    </font>
    <font>
      <name val="Arial"/>
      <b val="1"/>
      <color rgb="00FFFFFF"/>
      <sz val="11"/>
    </font>
    <font>
      <name val="Arial"/>
      <b val="1"/>
      <color rgb="00C00000"/>
      <sz val="10"/>
    </font>
    <font>
      <name val="Arial"/>
      <b val="1"/>
      <color rgb="001F3864"/>
      <sz val="9"/>
    </font>
    <font>
      <name val="Arial"/>
      <b val="1"/>
      <color rgb="00000000"/>
      <sz val="10"/>
    </font>
    <font>
      <name val="Arial"/>
      <color rgb="00000000"/>
      <sz val="9"/>
    </font>
    <font>
      <name val="Arial"/>
      <i val="1"/>
      <color rgb="00808080"/>
      <sz val="10"/>
    </font>
    <font>
      <name val="Arial"/>
      <i val="1"/>
      <color rgb="00808080"/>
      <sz val="8"/>
    </font>
    <font>
      <name val="Arial"/>
      <i val="1"/>
      <color rgb="00000000"/>
      <sz val="10"/>
    </font>
    <font>
      <name val="Arial"/>
      <i val="1"/>
      <color rgb="00C00000"/>
      <sz val="10"/>
    </font>
    <font>
      <name val="Arial"/>
      <b val="1"/>
      <color rgb="00C00000"/>
      <sz val="9"/>
    </font>
    <font>
      <name val="Arial"/>
      <i val="1"/>
      <color rgb="00000000"/>
      <sz val="9"/>
    </font>
    <font>
      <name val="Arial"/>
      <color rgb="00000000"/>
      <sz val="8"/>
    </font>
    <font>
      <name val="Arial"/>
      <b val="1"/>
      <color rgb="00008000"/>
      <sz val="10"/>
    </font>
    <font>
      <name val="Arial"/>
      <color rgb="00C00000"/>
      <sz val="9"/>
    </font>
  </fonts>
  <fills count="9">
    <fill>
      <patternFill/>
    </fill>
    <fill>
      <patternFill patternType="gray125"/>
    </fill>
    <fill>
      <patternFill patternType="solid">
        <fgColor rgb="001F3864"/>
      </patternFill>
    </fill>
    <fill>
      <patternFill patternType="solid">
        <fgColor rgb="002E5C9A"/>
      </patternFill>
    </fill>
    <fill>
      <patternFill patternType="solid">
        <fgColor rgb="00FFF2CC"/>
      </patternFill>
    </fill>
    <fill>
      <patternFill patternType="solid">
        <fgColor rgb="00FCE4D6"/>
      </patternFill>
    </fill>
    <fill>
      <patternFill patternType="solid">
        <fgColor rgb="00D9E2F3"/>
      </patternFill>
    </fill>
    <fill>
      <patternFill patternType="solid">
        <fgColor rgb="00E7E6E6"/>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2">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0" borderId="0" applyAlignment="1" pivotButton="0" quotePrefix="0" xfId="0">
      <alignment horizontal="general" vertical="center"/>
    </xf>
    <xf numFmtId="0" fontId="3" fillId="3" borderId="0" applyAlignment="1" pivotButton="0" quotePrefix="0" xfId="0">
      <alignment horizontal="left" vertical="center"/>
    </xf>
    <xf numFmtId="0" fontId="3" fillId="3" borderId="0" pivotButton="0" quotePrefix="0" xfId="0"/>
    <xf numFmtId="0" fontId="4" fillId="0" borderId="0" applyAlignment="1" pivotButton="0" quotePrefix="0" xfId="0">
      <alignment horizontal="right" vertical="top"/>
    </xf>
    <xf numFmtId="0" fontId="4" fillId="0" borderId="0" applyAlignment="1" pivotButton="0" quotePrefix="0" xfId="0">
      <alignment vertical="top" wrapText="1"/>
    </xf>
    <xf numFmtId="0" fontId="5" fillId="4" borderId="1" applyAlignment="1" pivotButton="0" quotePrefix="0" xfId="0">
      <alignment horizontal="center" vertical="center"/>
    </xf>
    <xf numFmtId="0" fontId="4" fillId="0" borderId="0" applyAlignment="1" pivotButton="0" quotePrefix="0" xfId="0">
      <alignment horizontal="general" vertical="center"/>
    </xf>
    <xf numFmtId="0" fontId="4" fillId="0" borderId="1" applyAlignment="1" pivotButton="0" quotePrefix="0" xfId="0">
      <alignment horizontal="center" vertical="center"/>
    </xf>
    <xf numFmtId="0" fontId="6" fillId="0" borderId="1" applyAlignment="1" pivotButton="0" quotePrefix="0" xfId="0">
      <alignment horizontal="center" vertical="center"/>
    </xf>
    <xf numFmtId="0" fontId="7" fillId="2" borderId="1" applyAlignment="1" pivotButton="0" quotePrefix="0" xfId="0">
      <alignment horizontal="center" vertical="center"/>
    </xf>
    <xf numFmtId="0" fontId="8" fillId="5" borderId="1" applyAlignment="1" pivotButton="0" quotePrefix="0" xfId="0">
      <alignment horizontal="left" vertical="center" wrapText="1"/>
    </xf>
    <xf numFmtId="0" fontId="9" fillId="6" borderId="1" applyAlignment="1" pivotButton="0" quotePrefix="0" xfId="0">
      <alignment horizontal="center" vertical="center" wrapText="1"/>
    </xf>
    <xf numFmtId="0" fontId="10" fillId="0" borderId="1" applyAlignment="1" pivotButton="0" quotePrefix="0" xfId="0">
      <alignment vertical="top"/>
    </xf>
    <xf numFmtId="0" fontId="11" fillId="0" borderId="1" applyAlignment="1" pivotButton="0" quotePrefix="0" xfId="0">
      <alignment vertical="top" wrapText="1"/>
    </xf>
    <xf numFmtId="0" fontId="10" fillId="0" borderId="0" applyAlignment="1" pivotButton="0" quotePrefix="0" xfId="0">
      <alignment horizontal="general" vertical="center"/>
    </xf>
    <xf numFmtId="0" fontId="12" fillId="0" borderId="0" applyAlignment="1" pivotButton="0" quotePrefix="0" xfId="0">
      <alignment horizontal="general" vertical="center"/>
    </xf>
    <xf numFmtId="0" fontId="11" fillId="0" borderId="0" applyAlignment="1" pivotButton="0" quotePrefix="0" xfId="0">
      <alignment vertical="top" wrapText="1"/>
    </xf>
    <xf numFmtId="164" fontId="5" fillId="4" borderId="1" applyAlignment="1" pivotButton="0" quotePrefix="0" xfId="0">
      <alignment horizontal="center" vertical="center"/>
    </xf>
    <xf numFmtId="0" fontId="13" fillId="0" borderId="0" applyAlignment="1" pivotButton="0" quotePrefix="0" xfId="0">
      <alignment horizontal="general" vertical="center"/>
    </xf>
    <xf numFmtId="0" fontId="13" fillId="0" borderId="0" pivotButton="0" quotePrefix="0" xfId="0"/>
    <xf numFmtId="0" fontId="5" fillId="4" borderId="1" applyAlignment="1" pivotButton="0" quotePrefix="0" xfId="0">
      <alignment horizontal="general" vertical="center"/>
    </xf>
    <xf numFmtId="0" fontId="14" fillId="0" borderId="0" applyAlignment="1" pivotButton="0" quotePrefix="0" xfId="0">
      <alignment horizontal="general" vertical="center"/>
    </xf>
    <xf numFmtId="166" fontId="4" fillId="0" borderId="0" applyAlignment="1" pivotButton="0" quotePrefix="0" xfId="0">
      <alignment horizontal="center" vertical="center"/>
    </xf>
    <xf numFmtId="0" fontId="4" fillId="0" borderId="0" applyAlignment="1" pivotButton="0" quotePrefix="0" xfId="0">
      <alignment horizontal="center" vertical="center"/>
    </xf>
    <xf numFmtId="166" fontId="4" fillId="0" borderId="1" applyAlignment="1" pivotButton="0" quotePrefix="0" xfId="0">
      <alignment horizontal="center" vertical="center"/>
    </xf>
    <xf numFmtId="166" fontId="10" fillId="0" borderId="0" applyAlignment="1" pivotButton="0" quotePrefix="0" xfId="0">
      <alignment horizontal="center" vertical="center"/>
    </xf>
    <xf numFmtId="166" fontId="5" fillId="4" borderId="1" applyAlignment="1" pivotButton="0" quotePrefix="0" xfId="0">
      <alignment horizontal="center" vertical="center"/>
    </xf>
    <xf numFmtId="167" fontId="5" fillId="4" borderId="1" applyAlignment="1" pivotButton="0" quotePrefix="0" xfId="0">
      <alignment horizontal="center" vertical="center"/>
    </xf>
    <xf numFmtId="4" fontId="5" fillId="4" borderId="1" applyAlignment="1" pivotButton="0" quotePrefix="0" xfId="0">
      <alignment horizontal="center" vertical="center"/>
    </xf>
    <xf numFmtId="167" fontId="4" fillId="0" borderId="0" applyAlignment="1" pivotButton="0" quotePrefix="0" xfId="0">
      <alignment horizontal="center" vertical="center"/>
    </xf>
    <xf numFmtId="168" fontId="4" fillId="0" borderId="0" applyAlignment="1" pivotButton="0" quotePrefix="0" xfId="0">
      <alignment horizontal="center" vertical="center"/>
    </xf>
    <xf numFmtId="168" fontId="7" fillId="2" borderId="1" applyAlignment="1" pivotButton="0" quotePrefix="0" xfId="0">
      <alignment horizontal="center" vertical="center"/>
    </xf>
    <xf numFmtId="0" fontId="15" fillId="0" borderId="0" applyAlignment="1" pivotButton="0" quotePrefix="0" xfId="0">
      <alignment horizontal="general" vertical="center"/>
    </xf>
    <xf numFmtId="0" fontId="6" fillId="0" borderId="0" applyAlignment="1" pivotButton="0" quotePrefix="0" xfId="0">
      <alignment horizontal="center" vertical="center"/>
    </xf>
    <xf numFmtId="167" fontId="5" fillId="4" borderId="1" applyAlignment="1" pivotButton="0" quotePrefix="0" xfId="0">
      <alignment horizontal="right" vertical="center"/>
    </xf>
    <xf numFmtId="168" fontId="5" fillId="4" borderId="1" applyAlignment="1" pivotButton="0" quotePrefix="0" xfId="0">
      <alignment horizontal="center" vertical="center"/>
    </xf>
    <xf numFmtId="167" fontId="4" fillId="0" borderId="1" applyAlignment="1" pivotButton="0" quotePrefix="0" xfId="0">
      <alignment horizontal="right" vertical="center"/>
    </xf>
    <xf numFmtId="168" fontId="4" fillId="0" borderId="1" applyAlignment="1" pivotButton="0" quotePrefix="0" xfId="0">
      <alignment horizontal="center" vertical="center"/>
    </xf>
    <xf numFmtId="167" fontId="10" fillId="7" borderId="1" applyAlignment="1" pivotButton="0" quotePrefix="0" xfId="0">
      <alignment horizontal="right" vertical="center"/>
    </xf>
    <xf numFmtId="167" fontId="7" fillId="2" borderId="1" applyAlignment="1" pivotButton="0" quotePrefix="0" xfId="0">
      <alignment horizontal="center" vertical="center"/>
    </xf>
    <xf numFmtId="169" fontId="4" fillId="0" borderId="0" applyAlignment="1" pivotButton="0" quotePrefix="0" xfId="0">
      <alignment horizontal="right" vertical="center"/>
    </xf>
    <xf numFmtId="0" fontId="6" fillId="0" borderId="0" applyAlignment="1" pivotButton="0" quotePrefix="0" xfId="0">
      <alignment horizontal="left" vertical="center"/>
    </xf>
    <xf numFmtId="167" fontId="6" fillId="0" borderId="0" applyAlignment="1" pivotButton="0" quotePrefix="0" xfId="0">
      <alignment horizontal="center" vertical="center"/>
    </xf>
    <xf numFmtId="166" fontId="6" fillId="0" borderId="0" applyAlignment="1" pivotButton="0" quotePrefix="0" xfId="0">
      <alignment horizontal="center" vertical="center"/>
    </xf>
    <xf numFmtId="0" fontId="5" fillId="4" borderId="1" applyAlignment="1" pivotButton="0" quotePrefix="0" xfId="0">
      <alignment horizontal="left" vertical="center"/>
    </xf>
    <xf numFmtId="167" fontId="4" fillId="0" borderId="0" applyAlignment="1" pivotButton="0" quotePrefix="0" xfId="0">
      <alignment horizontal="right" vertical="center"/>
    </xf>
    <xf numFmtId="168" fontId="10" fillId="7" borderId="1" applyAlignment="1" pivotButton="0" quotePrefix="0" xfId="0">
      <alignment horizontal="center" vertical="center"/>
    </xf>
    <xf numFmtId="0" fontId="16" fillId="0" borderId="0" applyAlignment="1" pivotButton="0" quotePrefix="0" xfId="0">
      <alignment horizontal="general" vertical="center"/>
    </xf>
    <xf numFmtId="0" fontId="6" fillId="0" borderId="1" applyAlignment="1" pivotButton="0" quotePrefix="0" xfId="0">
      <alignment horizontal="general" vertical="center"/>
    </xf>
    <xf numFmtId="169" fontId="4" fillId="0" borderId="1" applyAlignment="1" pivotButton="0" quotePrefix="0" xfId="0">
      <alignment horizontal="center" vertical="center"/>
    </xf>
    <xf numFmtId="167" fontId="10" fillId="0" borderId="0" applyAlignment="1" pivotButton="0" quotePrefix="0" xfId="0">
      <alignment horizontal="right" vertical="center"/>
    </xf>
    <xf numFmtId="167" fontId="6" fillId="0" borderId="0" applyAlignment="1" pivotButton="0" quotePrefix="0" xfId="0">
      <alignment horizontal="right" vertical="center"/>
    </xf>
    <xf numFmtId="169" fontId="6" fillId="0" borderId="0" applyAlignment="1" pivotButton="0" quotePrefix="0" xfId="0">
      <alignment horizontal="right" vertical="center"/>
    </xf>
    <xf numFmtId="167" fontId="6" fillId="0" borderId="1" applyAlignment="1" pivotButton="0" quotePrefix="0" xfId="0">
      <alignment horizontal="right" vertical="center"/>
    </xf>
    <xf numFmtId="167" fontId="10" fillId="0" borderId="1" applyAlignment="1" pivotButton="0" quotePrefix="0" xfId="0">
      <alignment horizontal="right" vertical="center"/>
    </xf>
    <xf numFmtId="0" fontId="17" fillId="0" borderId="0" applyAlignment="1" pivotButton="0" quotePrefix="0" xfId="0">
      <alignment horizontal="general" vertical="center"/>
    </xf>
    <xf numFmtId="169" fontId="5" fillId="4" borderId="1" applyAlignment="1" pivotButton="0" quotePrefix="0" xfId="0">
      <alignment horizontal="center" vertical="center"/>
    </xf>
    <xf numFmtId="164" fontId="6" fillId="0" borderId="0" applyAlignment="1" pivotButton="0" quotePrefix="0" xfId="0">
      <alignment horizontal="center" vertical="center"/>
    </xf>
    <xf numFmtId="0" fontId="0" fillId="0" borderId="4" pivotButton="0" quotePrefix="0" xfId="0"/>
    <xf numFmtId="0" fontId="0" fillId="0" borderId="5" pivotButton="0" quotePrefix="0" xfId="0"/>
    <xf numFmtId="4" fontId="4" fillId="0" borderId="0" applyAlignment="1" pivotButton="0" quotePrefix="0" xfId="0">
      <alignment horizontal="center" vertical="center"/>
    </xf>
    <xf numFmtId="0" fontId="6" fillId="0" borderId="0" applyAlignment="1" pivotButton="0" quotePrefix="0" xfId="0">
      <alignment horizontal="general" vertical="center"/>
    </xf>
    <xf numFmtId="4" fontId="7" fillId="2" borderId="1" applyAlignment="1" pivotButton="0" quotePrefix="0" xfId="0">
      <alignment horizontal="center" vertical="center"/>
    </xf>
    <xf numFmtId="166" fontId="10" fillId="8" borderId="1" applyAlignment="1" pivotButton="0" quotePrefix="0" xfId="0">
      <alignment horizontal="center" vertical="center"/>
    </xf>
    <xf numFmtId="0" fontId="10" fillId="8" borderId="1" applyAlignment="1" pivotButton="0" quotePrefix="0" xfId="0">
      <alignment horizontal="center" vertical="center"/>
    </xf>
    <xf numFmtId="169" fontId="10" fillId="8" borderId="1" applyAlignment="1" pivotButton="0" quotePrefix="0" xfId="0">
      <alignment horizontal="center" vertical="center"/>
    </xf>
    <xf numFmtId="167" fontId="4" fillId="0" borderId="1" applyAlignment="1" pivotButton="0" quotePrefix="0" xfId="0">
      <alignment horizontal="center" vertical="center"/>
    </xf>
    <xf numFmtId="167" fontId="10" fillId="8" borderId="1" applyAlignment="1" pivotButton="0" quotePrefix="0" xfId="0">
      <alignment horizontal="center" vertical="center"/>
    </xf>
    <xf numFmtId="4" fontId="4" fillId="0" borderId="1" applyAlignment="1" pivotButton="0" quotePrefix="0" xfId="0">
      <alignment horizontal="center" vertical="center"/>
    </xf>
    <xf numFmtId="4" fontId="10" fillId="8" borderId="1" applyAlignment="1" pivotButton="0" quotePrefix="0" xfId="0">
      <alignment horizontal="center" vertical="center"/>
    </xf>
    <xf numFmtId="167" fontId="10" fillId="7" borderId="1" applyAlignment="1" pivotButton="0" quotePrefix="0" xfId="0">
      <alignment horizontal="center" vertical="center"/>
    </xf>
    <xf numFmtId="4" fontId="6" fillId="0" borderId="0" applyAlignment="1" pivotButton="0" quotePrefix="0" xfId="0">
      <alignment horizontal="center" vertical="center"/>
    </xf>
    <xf numFmtId="169" fontId="6" fillId="0" borderId="0" applyAlignment="1" pivotButton="0" quotePrefix="0" xfId="0">
      <alignment horizontal="center" vertical="center"/>
    </xf>
    <xf numFmtId="169" fontId="4" fillId="0" borderId="0" applyAlignment="1" pivotButton="0" quotePrefix="0" xfId="0">
      <alignment horizontal="center" vertical="center"/>
    </xf>
    <xf numFmtId="170" fontId="4" fillId="0" borderId="0" applyAlignment="1" pivotButton="0" quotePrefix="0" xfId="0">
      <alignment horizontal="center" vertical="center"/>
    </xf>
    <xf numFmtId="168" fontId="6" fillId="0" borderId="0" applyAlignment="1" pivotButton="0" quotePrefix="0" xfId="0">
      <alignment horizontal="center" vertical="center"/>
    </xf>
    <xf numFmtId="0" fontId="10" fillId="0" borderId="1" applyAlignment="1" pivotButton="0" quotePrefix="0" xfId="0">
      <alignment horizontal="general" vertical="center"/>
    </xf>
    <xf numFmtId="167" fontId="10" fillId="0" borderId="1" applyAlignment="1" pivotButton="0" quotePrefix="0" xfId="0">
      <alignment horizontal="center" vertical="center"/>
    </xf>
    <xf numFmtId="0" fontId="18" fillId="0" borderId="1" applyAlignment="1" pivotButton="0" quotePrefix="0" xfId="0">
      <alignment vertical="center" wrapText="1"/>
    </xf>
    <xf numFmtId="0" fontId="6" fillId="0" borderId="1" applyAlignment="1" pivotButton="0" quotePrefix="0" xfId="0">
      <alignment horizontal="left" vertical="center"/>
    </xf>
    <xf numFmtId="167" fontId="6" fillId="0" borderId="1" applyAlignment="1" pivotButton="0" quotePrefix="0" xfId="0">
      <alignment horizontal="center" vertical="center"/>
    </xf>
    <xf numFmtId="4" fontId="6" fillId="0" borderId="1" applyAlignment="1" pivotButton="0" quotePrefix="0" xfId="0">
      <alignment horizontal="center" vertical="center"/>
    </xf>
    <xf numFmtId="0" fontId="4" fillId="0" borderId="1" applyAlignment="1" pivotButton="0" quotePrefix="0" xfId="0">
      <alignment vertical="center" wrapText="1"/>
    </xf>
    <xf numFmtId="167" fontId="19" fillId="0" borderId="1" applyAlignment="1" pivotButton="0" quotePrefix="0" xfId="0">
      <alignment horizontal="center" vertical="center"/>
    </xf>
    <xf numFmtId="0" fontId="8" fillId="0" borderId="0" applyAlignment="1" pivotButton="0" quotePrefix="0" xfId="0">
      <alignment horizontal="general" vertical="center"/>
    </xf>
    <xf numFmtId="0" fontId="4" fillId="0" borderId="1" applyAlignment="1" pivotButton="0" quotePrefix="0" xfId="0">
      <alignment horizontal="general" vertical="center"/>
    </xf>
    <xf numFmtId="0" fontId="20" fillId="0" borderId="0" applyAlignment="1" pivotButton="0" quotePrefix="0" xfId="0">
      <alignment horizontal="general" vertical="center"/>
    </xf>
    <xf numFmtId="171" fontId="5" fillId="4" borderId="1" applyAlignment="1" pivotButton="0" quotePrefix="0" xfId="0">
      <alignment horizontal="center" vertical="center"/>
    </xf>
    <xf numFmtId="169" fontId="1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E54"/>
  <sheetViews>
    <sheetView showGridLines="0" zoomScale="100" workbookViewId="0">
      <pane ySplit="3" topLeftCell="A4" activePane="bottomLeft" state="frozen"/>
      <selection pane="bottomLeft" activeCell="A1" sqref="A1"/>
    </sheetView>
  </sheetViews>
  <sheetFormatPr baseColWidth="8" defaultRowHeight="15"/>
  <cols>
    <col width="2" customWidth="1" min="1" max="1"/>
    <col width="26" customWidth="1" min="2" max="2"/>
    <col width="46" customWidth="1" min="3" max="3"/>
    <col width="46" customWidth="1" min="4" max="4"/>
    <col width="46" customWidth="1" min="5" max="5"/>
    <col width="4" customWidth="1" min="6" max="6"/>
  </cols>
  <sheetData>
    <row r="1" ht="30" customHeight="1">
      <c r="A1" s="1" t="inlineStr">
        <is>
          <t>SIMULATEUR PATRIMONIAL — SUCCESSION &amp; RETRAITE</t>
        </is>
      </c>
      <c r="B1" s="2" t="n"/>
      <c r="C1" s="2" t="n"/>
      <c r="D1" s="2" t="n"/>
      <c r="E1" s="2" t="n"/>
    </row>
    <row r="2" ht="14" customHeight="1">
      <c r="A2" s="3" t="inlineStr">
        <is>
          <t>Classeur d'aide à l'entretien patrimonial. Livré pré-rempli avec un cas fictif d'illustration (famille MARTIN) : écrasez les données par celles de votre client.</t>
        </is>
      </c>
    </row>
    <row r="4" ht="20" customHeight="1">
      <c r="A4" s="4" t="inlineStr">
        <is>
          <t>AVERTISSEMENT</t>
        </is>
      </c>
      <c r="B4" s="5" t="n"/>
      <c r="C4" s="5" t="n"/>
      <c r="D4" s="5" t="n"/>
      <c r="E4" s="5" t="n"/>
    </row>
    <row r="5" ht="52" customHeight="1">
      <c r="B5" s="6" t="inlineStr">
        <is>
          <t>•</t>
        </is>
      </c>
      <c r="C5" s="7" t="inlineStr">
        <is>
          <t>Cet outil produit une ESTIMATION pédagogique destinée à préparer un entretien et à illustrer des ordres de grandeur. Il ne se substitue ni à une consultation notariale, ni au relevé officiel de carrière, ni à un conseil en investissement.</t>
        </is>
      </c>
    </row>
    <row r="6" ht="52" customHeight="1">
      <c r="B6" s="6" t="inlineStr">
        <is>
          <t>•</t>
        </is>
      </c>
      <c r="C6" s="7" t="inlineStr">
        <is>
          <t>Les barèmes sont arrêtés à la date de construction du classeur. VÉRIFIEZ-LES sur la feuille « Parametres » avant tout usage : ils sont revalorisés chaque année, et le calendrier de l'âge légal de départ à la retraite a fait l'objet de mesures de suspension discutées fin 2025.</t>
        </is>
      </c>
    </row>
    <row r="7" ht="52" customHeight="1">
      <c r="B7" s="6" t="inlineStr">
        <is>
          <t>•</t>
        </is>
      </c>
      <c r="C7" s="7" t="inlineStr">
        <is>
          <t>Les simplifications assumées du modèle sont listées en bas de chaque feuille et récapitulées ci-dessous. Lisez-les avant de présenter un chiffre à un client.</t>
        </is>
      </c>
    </row>
    <row r="8" ht="52" customHeight="1">
      <c r="B8" s="6" t="inlineStr">
        <is>
          <t>•</t>
        </is>
      </c>
      <c r="C8" s="7" t="inlineStr">
        <is>
          <t>Respectez la politique de votre établissement en matière de données clients : ce fichier contient des données personnelles et patrimoniales sensibles (RGPD).</t>
        </is>
      </c>
    </row>
    <row r="10" ht="20" customHeight="1">
      <c r="A10" s="4" t="inlineStr">
        <is>
          <t>LÉGENDE DES COULEURS</t>
        </is>
      </c>
      <c r="B10" s="5" t="n"/>
      <c r="C10" s="5" t="n"/>
      <c r="D10" s="5" t="n"/>
      <c r="E10" s="5" t="n"/>
    </row>
    <row r="11">
      <c r="B11" s="8" t="inlineStr">
        <is>
          <t>Saisie</t>
        </is>
      </c>
      <c r="C11" s="9" t="inlineStr">
        <is>
          <t>Cellule à remplir : c'est VOUS qui la renseignez.</t>
        </is>
      </c>
    </row>
    <row r="12">
      <c r="B12" s="10" t="inlineStr">
        <is>
          <t>Calcul</t>
        </is>
      </c>
      <c r="C12" s="9" t="inlineStr">
        <is>
          <t>Formule interne à la feuille : ne la modifiez pas.</t>
        </is>
      </c>
    </row>
    <row r="13">
      <c r="B13" s="11" t="inlineStr">
        <is>
          <t>Report</t>
        </is>
      </c>
      <c r="C13" s="9" t="inlineStr">
        <is>
          <t>Formule reprenant une autre feuille : ne la modifiez pas.</t>
        </is>
      </c>
    </row>
    <row r="14">
      <c r="B14" s="12" t="inlineStr">
        <is>
          <t>Résultat</t>
        </is>
      </c>
      <c r="C14" s="9" t="inlineStr">
        <is>
          <t>Résultat clé de la feuille.</t>
        </is>
      </c>
    </row>
    <row r="15">
      <c r="B15" s="13" t="inlineStr">
        <is>
          <t>⚠️ Alerte</t>
        </is>
      </c>
      <c r="C15" s="9" t="inlineStr">
        <is>
          <t>Contrôle de cohérence : lisez le message affiché.</t>
        </is>
      </c>
    </row>
    <row r="17" ht="20" customHeight="1">
      <c r="A17" s="4" t="inlineStr">
        <is>
          <t>PLAN DU CLASSEUR</t>
        </is>
      </c>
      <c r="B17" s="5" t="n"/>
      <c r="C17" s="5" t="n"/>
      <c r="D17" s="5" t="n"/>
      <c r="E17" s="5" t="n"/>
    </row>
    <row r="18" ht="28" customHeight="1">
      <c r="B18" s="14" t="inlineStr">
        <is>
          <t>Feuille</t>
        </is>
      </c>
      <c r="C18" s="14" t="inlineStr">
        <is>
          <t>À quoi elle sert</t>
        </is>
      </c>
      <c r="D18" s="14" t="inlineStr">
        <is>
          <t>Ce que VOUS saisissez</t>
        </is>
      </c>
      <c r="E18" s="14" t="inlineStr">
        <is>
          <t>Ce qui est calculé</t>
        </is>
      </c>
    </row>
    <row r="19" ht="56" customHeight="1">
      <c r="B19" s="15" t="inlineStr">
        <is>
          <t>1. Client</t>
        </is>
      </c>
      <c r="C19" s="16" t="inlineStr">
        <is>
          <t>État civil, famille, profession, fiscalité du foyer.</t>
        </is>
      </c>
      <c r="D19" s="16" t="inlineStr">
        <is>
          <t>Identité, situation matrimoniale, enfants, ascendants, revenus, parts fiscales.</t>
        </is>
      </c>
      <c r="E19" s="16" t="inlineStr">
        <is>
          <t>Âges, nombre d'héritiers réservataires par branche, impôt sur le revenu et TMI.</t>
        </is>
      </c>
    </row>
    <row r="20" ht="56" customHeight="1">
      <c r="B20" s="15" t="inlineStr">
        <is>
          <t>2. Patrimoine</t>
        </is>
      </c>
      <c r="C20" s="16" t="inlineStr">
        <is>
          <t>Inventaire des biens et détermination de la masse successorale.</t>
        </is>
      </c>
      <c r="D20" s="16" t="inlineStr">
        <is>
          <t>Simulation du décès (client ou conjoint), biens, mode de détention, dettes, donations antérieures.</t>
        </is>
      </c>
      <c r="E20" s="16" t="inlineStr">
        <is>
          <t>Liquidation du régime matrimonial, actif net successoral, assiette fiscale, abattement résidence principale, rappel fiscal des donations.</t>
        </is>
      </c>
    </row>
    <row r="21" ht="56" customHeight="1">
      <c r="B21" s="15" t="inlineStr">
        <is>
          <t>3. Devolution</t>
        </is>
      </c>
      <c r="C21" s="16" t="inlineStr">
        <is>
          <t>Qui hérite, et pour quelle quote-part (Code civil).</t>
        </is>
      </c>
      <c r="D21" s="16" t="inlineStr">
        <is>
          <t>Option du conjoint survivant, legs éventuels.</t>
        </is>
      </c>
      <c r="E21" s="16" t="inlineStr">
        <is>
          <t>Cas de dévolution applicable, réserve et quotité disponible, quotes-parts en pleine propriété / usufruit / nue-propriété, valorisation au barème de l'art. 669 CGI.</t>
        </is>
      </c>
    </row>
    <row r="22" ht="56" customHeight="1">
      <c r="B22" s="15" t="inlineStr">
        <is>
          <t>4. Droits_Succession</t>
        </is>
      </c>
      <c r="C22" s="16" t="inlineStr">
        <is>
          <t>Combien chaque héritier paie (CGI).</t>
        </is>
      </c>
      <c r="D22" s="16" t="inlineStr">
        <is>
          <t>Rien — sauf le lien de parenté des héritiers non standard.</t>
        </is>
      </c>
      <c r="E22" s="16" t="inlineStr">
        <is>
          <t>Abattements, base taxable, barème progressif, droits par héritier, coût total de la transmission et comparatif des trois options du conjoint.</t>
        </is>
      </c>
    </row>
    <row r="23" ht="56" customHeight="1">
      <c r="B23" s="15" t="inlineStr">
        <is>
          <t>5. Assurance_Vie</t>
        </is>
      </c>
      <c r="C23" s="16" t="inlineStr">
        <is>
          <t>Capitaux décès et fiscalité propre à l'assurance-vie.</t>
        </is>
      </c>
      <c r="D23" s="16" t="inlineStr">
        <is>
          <t>Contrats, primes versées avant / après 70 ans, clauses bénéficiaires.</t>
        </is>
      </c>
      <c r="E23" s="16" t="inlineStr">
        <is>
          <t>Prélèvement de l'art. 990 I, base taxable de l'art. 757 B (reprise automatiquement dans les droits de succession du bénéficiaire).</t>
        </is>
      </c>
    </row>
    <row r="24" ht="56" customHeight="1">
      <c r="B24" s="15" t="inlineStr">
        <is>
          <t>6. Retraite_Carriere</t>
        </is>
      </c>
      <c r="C24" s="16" t="inlineStr">
        <is>
          <t>La personne étudiée et sa carrière.</t>
        </is>
      </c>
      <c r="D24" s="16" t="inlineStr">
        <is>
          <t>Trimestres du relevé de carrière, points Agirc-Arrco, âge de départ envisagé, SAM.</t>
        </is>
      </c>
      <c r="E24" s="16" t="inlineStr">
        <is>
          <t>Âge légal et durée requise selon la génération, âge d'obtention du taux plein, points acquis par an.</t>
        </is>
      </c>
    </row>
    <row r="25" ht="56" customHeight="1">
      <c r="B25" s="15" t="inlineStr">
        <is>
          <t>7. Retraite_Estimation</t>
        </is>
      </c>
      <c r="C25" s="16" t="inlineStr">
        <is>
          <t>Estimation de la pension pour 6 âges de départ + l'âge envisagé.</t>
        </is>
      </c>
      <c r="D25" s="16" t="inlineStr">
        <is>
          <t>Rien.</t>
        </is>
      </c>
      <c r="E25" s="16" t="inlineStr">
        <is>
          <t>Décote, surcote, taux de liquidation, proratisation, pension de base et complémentaire, pension nette et taux de remplacement.</t>
        </is>
      </c>
    </row>
    <row r="26" ht="56" customHeight="1">
      <c r="B26" s="15" t="inlineStr">
        <is>
          <t>8. Retraite_Objectif</t>
        </is>
      </c>
      <c r="C26" s="16" t="inlineStr">
        <is>
          <t>Écart avec l'objectif du client et effort d'épargne à mettre en place.</t>
        </is>
      </c>
      <c r="D26" s="16" t="inlineStr">
        <is>
          <t>Objectif de revenu, autres revenus attendus, épargne déjà constituée et versements en cours.</t>
        </is>
      </c>
      <c r="E26" s="16" t="inlineStr">
        <is>
          <t>Capital nécessaire, capital projeté, effort mensuel, comparatif des enveloppes, sensibilité à l'âge de départ et au rendement.</t>
        </is>
      </c>
    </row>
    <row r="27" ht="56" customHeight="1">
      <c r="B27" s="15" t="inlineStr">
        <is>
          <t>9. Synthese</t>
        </is>
      </c>
      <c r="C27" s="16" t="inlineStr">
        <is>
          <t>Restitution en une page pour l'entretien.</t>
        </is>
      </c>
      <c r="D27" s="16" t="inlineStr">
        <is>
          <t>Rien.</t>
        </is>
      </c>
      <c r="E27" s="16" t="inlineStr">
        <is>
          <t>Chiffres clés des deux volets et pistes de travail conditionnelles.</t>
        </is>
      </c>
    </row>
    <row r="28" ht="56" customHeight="1">
      <c r="B28" s="15" t="inlineStr">
        <is>
          <t>10. Parametres</t>
        </is>
      </c>
      <c r="C28" s="16" t="inlineStr">
        <is>
          <t>Tous les barèmes, taux et hypothèses.</t>
        </is>
      </c>
      <c r="D28" s="16" t="inlineStr">
        <is>
          <t>Mise à jour annuelle des barèmes et choix des hypothèses financières.</t>
        </is>
      </c>
      <c r="E28" s="16" t="inlineStr">
        <is>
          <t>Rien — c'est la source de toutes les autres feuilles.</t>
        </is>
      </c>
    </row>
    <row r="30" ht="20" customHeight="1">
      <c r="A30" s="4" t="inlineStr">
        <is>
          <t>ORDRE DE TRAVAIL RECOMMANDÉ</t>
        </is>
      </c>
      <c r="B30" s="5" t="n"/>
      <c r="C30" s="5" t="n"/>
      <c r="D30" s="5" t="n"/>
      <c r="E30" s="5" t="n"/>
    </row>
    <row r="31">
      <c r="B31" s="17" t="inlineStr">
        <is>
          <t>Étape 1</t>
        </is>
      </c>
      <c r="C31" s="9" t="inlineStr">
        <is>
          <t>Vérifier les barèmes de la feuille « Parametres » (une fois par an suffit).</t>
        </is>
      </c>
    </row>
    <row r="32">
      <c r="B32" s="17" t="inlineStr">
        <is>
          <t>Étape 2</t>
        </is>
      </c>
      <c r="C32" s="9" t="inlineStr">
        <is>
          <t>Remplir la feuille « Client » de haut en bas.</t>
        </is>
      </c>
    </row>
    <row r="33">
      <c r="B33" s="17" t="inlineStr">
        <is>
          <t>Étape 3</t>
        </is>
      </c>
      <c r="C33" s="9" t="inlineStr">
        <is>
          <t>Inventorier le patrimoine et choisir qui décède en premier (feuille « Patrimoine »).</t>
        </is>
      </c>
    </row>
    <row r="34">
      <c r="B34" s="17" t="inlineStr">
        <is>
          <t>Étape 4</t>
        </is>
      </c>
      <c r="C34" s="9" t="inlineStr">
        <is>
          <t>Saisir les contrats d'assurance-vie et leurs clauses bénéficiaires.</t>
        </is>
      </c>
    </row>
    <row r="35">
      <c r="B35" s="17" t="inlineStr">
        <is>
          <t>Étape 5</t>
        </is>
      </c>
      <c r="C35" s="9" t="inlineStr">
        <is>
          <t>Lire la dévolution, puis faire varier l'option du conjoint pour montrer l'écart de droits.</t>
        </is>
      </c>
    </row>
    <row r="36">
      <c r="B36" s="17" t="inlineStr">
        <is>
          <t>Étape 6</t>
        </is>
      </c>
      <c r="C36" s="9" t="inlineStr">
        <is>
          <t>Relancer la simulation avec l'autre conjoint comme défunt : les deux scénarios s'imposent.</t>
        </is>
      </c>
    </row>
    <row r="37">
      <c r="B37" s="17" t="inlineStr">
        <is>
          <t>Étape 7</t>
        </is>
      </c>
      <c r="C37" s="9" t="inlineStr">
        <is>
          <t>Basculer sur le volet retraite : carrière, puis estimation, puis objectif.</t>
        </is>
      </c>
    </row>
    <row r="38">
      <c r="B38" s="17" t="inlineStr">
        <is>
          <t>Étape 8</t>
        </is>
      </c>
      <c r="C38" s="9" t="inlineStr">
        <is>
          <t>Présenter la feuille « Synthese » au client.</t>
        </is>
      </c>
    </row>
    <row r="40" ht="20" customHeight="1">
      <c r="A40" s="4" t="inlineStr">
        <is>
          <t>MISE À JOUR ANNUELLE (feuille « Parametres »)</t>
        </is>
      </c>
      <c r="B40" s="5" t="n"/>
      <c r="C40" s="5" t="n"/>
      <c r="D40" s="5" t="n"/>
      <c r="E40" s="5" t="n"/>
    </row>
    <row r="41">
      <c r="B41" s="17" t="inlineStr">
        <is>
          <t>☐</t>
        </is>
      </c>
      <c r="C41" s="9" t="inlineStr">
        <is>
          <t>Abattements et barème des droits de succession (§ 1 et 2)</t>
        </is>
      </c>
      <c r="D41" s="18" t="inlineStr">
        <is>
          <t>Loi de finances — janvier</t>
        </is>
      </c>
    </row>
    <row r="42">
      <c r="B42" s="17" t="inlineStr">
        <is>
          <t>☐</t>
        </is>
      </c>
      <c r="C42" s="9" t="inlineStr">
        <is>
          <t>Barème de l'impôt sur le revenu (§ 6)</t>
        </is>
      </c>
      <c r="D42" s="18" t="inlineStr">
        <is>
          <t>Loi de finances — janvier</t>
        </is>
      </c>
    </row>
    <row r="43">
      <c r="B43" s="17" t="inlineStr">
        <is>
          <t>☐</t>
        </is>
      </c>
      <c r="C43" s="9" t="inlineStr">
        <is>
          <t>Calendrier de l'âge légal et de la durée d'assurance (§ 7)</t>
        </is>
      </c>
      <c r="D43" s="18" t="inlineStr">
        <is>
          <t>À chaque réforme des retraites</t>
        </is>
      </c>
    </row>
    <row r="44">
      <c r="B44" s="17" t="inlineStr">
        <is>
          <t>☐</t>
        </is>
      </c>
      <c r="C44" s="9" t="inlineStr">
        <is>
          <t>PASS et PASS N-1 (§ 8)</t>
        </is>
      </c>
      <c r="D44" s="18" t="inlineStr">
        <is>
          <t>1er janvier</t>
        </is>
      </c>
    </row>
    <row r="45">
      <c r="B45" s="17" t="inlineStr">
        <is>
          <t>☐</t>
        </is>
      </c>
      <c r="C45" s="9" t="inlineStr">
        <is>
          <t>Valeur d'achat et valeur de service du point Agirc-Arrco (§ 9)</t>
        </is>
      </c>
      <c r="D45" s="18" t="inlineStr">
        <is>
          <t>1er novembre — agirc-arrco.fr</t>
        </is>
      </c>
    </row>
    <row r="46">
      <c r="B46" s="17" t="inlineStr">
        <is>
          <t>☐</t>
        </is>
      </c>
      <c r="C46" s="9" t="inlineStr">
        <is>
          <t>Taux de CSG / CRDS / CASA (§ 10)</t>
        </is>
      </c>
      <c r="D46" s="18" t="inlineStr">
        <is>
          <t>1er janvier</t>
        </is>
      </c>
    </row>
    <row r="47">
      <c r="B47" s="17" t="inlineStr">
        <is>
          <t>☐</t>
        </is>
      </c>
      <c r="C47" s="9" t="inlineStr">
        <is>
          <t>Hypothèses d'inflation et de rendement (§ 11)</t>
        </is>
      </c>
      <c r="D47" s="18" t="inlineStr">
        <is>
          <t>À votre main — au moins une fois par an</t>
        </is>
      </c>
    </row>
    <row r="48">
      <c r="B48" s="17" t="inlineStr">
        <is>
          <t>☐</t>
        </is>
      </c>
      <c r="C48" s="9" t="inlineStr">
        <is>
          <t>Plafond de déduction PER (§ 12)</t>
        </is>
      </c>
      <c r="D48" s="18" t="inlineStr">
        <is>
          <t>1er janvier</t>
        </is>
      </c>
    </row>
    <row r="50" ht="20" customHeight="1">
      <c r="A50" s="4" t="inlineStr">
        <is>
          <t>CE QUE LE MODÈLE NE FAIT PAS</t>
        </is>
      </c>
      <c r="B50" s="5" t="n"/>
      <c r="C50" s="5" t="n"/>
      <c r="D50" s="5" t="n"/>
      <c r="E50" s="5" t="n"/>
    </row>
    <row r="51" ht="56" customHeight="1">
      <c r="B51" s="6" t="inlineStr">
        <is>
          <t>•</t>
        </is>
      </c>
      <c r="C51" s="19" t="inlineStr">
        <is>
          <t>Succession : représentation des petits-enfants, fente successorale entre branches, rapport civil des donations, récompenses entre patrimoines, reconstitution du barème sur les donations rappelées, droit de retour légal ou conventionnel, exonérations sectorielles (pacte Dutreil, bois et forêts, monuments historiques), successions internationales.</t>
        </is>
      </c>
    </row>
    <row r="52" ht="56" customHeight="1">
      <c r="B52" s="6" t="inlineStr">
        <is>
          <t>•</t>
        </is>
      </c>
      <c r="C52" s="19" t="inlineStr">
        <is>
          <t>Assurance-vie : contrats antérieurs au 20/11/1991, primes antérieures au 13/10/1998, clauses bénéficiaires démembrées, contrats de capitalisation.</t>
        </is>
      </c>
    </row>
    <row r="53" ht="56" customHeight="1">
      <c r="B53" s="6" t="inlineStr">
        <is>
          <t>•</t>
        </is>
      </c>
      <c r="C53" s="19" t="inlineStr">
        <is>
          <t>Retraite : carrière longue, retraite progressive, catégories actives, régimes spéciaux, fonction publique, indépendants et professions libérales, polypensionnés, périodes à l'étranger, minimum contributif, réversion, rachats de trimestres.</t>
        </is>
      </c>
    </row>
    <row r="54" ht="56" customHeight="1">
      <c r="B54" s="6" t="inlineStr">
        <is>
          <t>•</t>
        </is>
      </c>
      <c r="C54" s="19" t="inlineStr">
        <is>
          <t>Fiscalité : impôt sur la fortune immobilière, plafonnement du quotient familial, décote, réductions et crédits d'impôt, prélèvement à la source.</t>
        </is>
      </c>
    </row>
  </sheetData>
  <mergeCells count="8">
    <mergeCell ref="C54:E54"/>
    <mergeCell ref="C5:E5"/>
    <mergeCell ref="C52:E52"/>
    <mergeCell ref="C53:E53"/>
    <mergeCell ref="C8:E8"/>
    <mergeCell ref="C7:E7"/>
    <mergeCell ref="C51:E51"/>
    <mergeCell ref="C6:E6"/>
  </mergeCells>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tabColor rgb="002E5C9A"/>
    <outlinePr summaryBelow="1" summaryRight="1"/>
    <pageSetUpPr fitToPage="1"/>
  </sheetPr>
  <dimension ref="A1:I68"/>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44" customWidth="1" min="2" max="2"/>
    <col width="26" customWidth="1" min="3" max="3"/>
    <col width="26" customWidth="1" min="4" max="4"/>
    <col width="26" customWidth="1" min="5" max="5"/>
    <col width="14" customWidth="1" min="6" max="6"/>
    <col width="20" customWidth="1" min="7" max="7"/>
    <col width="4" customWidth="1" min="8" max="8"/>
    <col width="60" customWidth="1" min="9" max="9"/>
  </cols>
  <sheetData>
    <row r="1" ht="30" customHeight="1">
      <c r="A1" s="1" t="inlineStr">
        <is>
          <t>FICHE CLIENT — FOYER, FAMILLE ET REVENUS</t>
        </is>
      </c>
      <c r="B1" s="2" t="n"/>
      <c r="C1" s="2" t="n"/>
      <c r="D1" s="2" t="n"/>
      <c r="E1" s="2" t="n"/>
      <c r="F1" s="2" t="n"/>
      <c r="G1" s="2" t="n"/>
    </row>
    <row r="2" ht="14" customHeight="1">
      <c r="A2" s="3" t="inlineStr">
        <is>
          <t>Renseignez uniquement les cellules bleues sur fond crème. Les cellules noires ou vertes sont calculées : ne les écrasez pas.</t>
        </is>
      </c>
    </row>
    <row r="4" ht="20" customHeight="1">
      <c r="A4" s="4" t="inlineStr">
        <is>
          <t>1.  PARAMÈTRES DE L'ÉTUDE</t>
        </is>
      </c>
      <c r="B4" s="5" t="n"/>
      <c r="C4" s="5" t="n"/>
      <c r="D4" s="5" t="n"/>
      <c r="E4" s="5" t="n"/>
      <c r="F4" s="5" t="n"/>
      <c r="G4" s="5" t="n"/>
    </row>
    <row r="5">
      <c r="B5" s="9" t="inlineStr">
        <is>
          <t>Date de la simulation</t>
        </is>
      </c>
      <c r="C5" s="20">
        <f>TODAY()</f>
        <v/>
      </c>
      <c r="E5" s="21" t="inlineStr">
        <is>
          <t>Sert de référence pour les âges et pour le rappel fiscal des donations sur 15 ans.</t>
        </is>
      </c>
      <c r="I5" s="22" t="inlineStr">
        <is>
          <t>ℹ️ Laissez =AUJOURDHUI() pour une date glissante, ou saisissez une date fixe pour figer l'étude (les âges et le rappel fiscal des donations en dépendent).</t>
        </is>
      </c>
    </row>
    <row r="6">
      <c r="B6" s="9" t="inlineStr">
        <is>
          <t>Conseiller / agence</t>
        </is>
      </c>
      <c r="C6" s="23" t="inlineStr"/>
    </row>
    <row r="7">
      <c r="B7" s="9" t="inlineStr">
        <is>
          <t>Référence du dossier</t>
        </is>
      </c>
      <c r="C7" s="23" t="inlineStr"/>
    </row>
    <row r="9" ht="20" customHeight="1">
      <c r="A9" s="4" t="inlineStr">
        <is>
          <t>2.  IDENTIFICATION DU FOYER</t>
        </is>
      </c>
      <c r="B9" s="5" t="n"/>
      <c r="C9" s="5" t="n"/>
      <c r="D9" s="5" t="n"/>
      <c r="E9" s="5" t="n"/>
      <c r="F9" s="5" t="n"/>
      <c r="G9" s="5" t="n"/>
    </row>
    <row r="10" ht="28" customHeight="1">
      <c r="B10" s="14" t="inlineStr"/>
      <c r="C10" s="14" t="inlineStr">
        <is>
          <t>CLIENT</t>
        </is>
      </c>
      <c r="D10" s="14" t="inlineStr">
        <is>
          <t>CONJOINT / PARTENAIRE</t>
        </is>
      </c>
      <c r="E10" s="14" t="inlineStr"/>
    </row>
    <row r="11">
      <c r="B11" s="9" t="inlineStr">
        <is>
          <t>Civilité</t>
        </is>
      </c>
      <c r="C11" s="8" t="inlineStr">
        <is>
          <t>M.</t>
        </is>
      </c>
      <c r="D11" s="8" t="inlineStr">
        <is>
          <t>Mme</t>
        </is>
      </c>
    </row>
    <row r="12">
      <c r="B12" s="9" t="inlineStr">
        <is>
          <t>Nom</t>
        </is>
      </c>
      <c r="C12" s="8" t="inlineStr">
        <is>
          <t>MARTIN</t>
        </is>
      </c>
      <c r="D12" s="8" t="inlineStr">
        <is>
          <t>MARTIN</t>
        </is>
      </c>
    </row>
    <row r="13">
      <c r="B13" s="9" t="inlineStr">
        <is>
          <t>Prénom</t>
        </is>
      </c>
      <c r="C13" s="8" t="inlineStr">
        <is>
          <t>Jean</t>
        </is>
      </c>
      <c r="D13" s="8" t="inlineStr">
        <is>
          <t>Sophie</t>
        </is>
      </c>
    </row>
    <row r="14">
      <c r="B14" s="9" t="inlineStr">
        <is>
          <t>Date de naissance</t>
        </is>
      </c>
      <c r="C14" s="20" t="n">
        <v>24909</v>
      </c>
      <c r="D14" s="20" t="n">
        <v>26139</v>
      </c>
    </row>
    <row r="15">
      <c r="B15" s="24" t="inlineStr">
        <is>
          <t>Âge au jour de la simulation</t>
        </is>
      </c>
      <c r="C15" s="25">
        <f>IFERROR(DATEDIF($C$14,DateSimu,"Y"),"")</f>
        <v/>
      </c>
      <c r="D15" s="25">
        <f>IFERROR(DATEDIF($D$14,DateSimu,"Y"),"")</f>
        <v/>
      </c>
    </row>
    <row r="16">
      <c r="B16" s="24" t="inlineStr">
        <is>
          <t>Identité complète</t>
        </is>
      </c>
      <c r="C16" s="26">
        <f>TRIM($C$13&amp;" "&amp;$C$12)</f>
        <v/>
      </c>
      <c r="D16" s="26">
        <f>TRIM($D$13&amp;" "&amp;$D$12)</f>
        <v/>
      </c>
    </row>
    <row r="17">
      <c r="B17" s="9" t="inlineStr">
        <is>
          <t>Résidence fiscale</t>
        </is>
      </c>
      <c r="C17" s="8" t="inlineStr">
        <is>
          <t>France</t>
        </is>
      </c>
      <c r="D17" s="8" t="inlineStr">
        <is>
          <t>France</t>
        </is>
      </c>
      <c r="E17" s="21" t="inlineStr">
        <is>
          <t>Le modèle suppose un défunt et des héritiers résidents fiscaux français (art. 750 ter CGI).</t>
        </is>
      </c>
    </row>
    <row r="19" ht="20" customHeight="1">
      <c r="A19" s="4" t="inlineStr">
        <is>
          <t>3.  SITUATION FAMILIALE</t>
        </is>
      </c>
      <c r="B19" s="5" t="n"/>
      <c r="C19" s="5" t="n"/>
      <c r="D19" s="5" t="n"/>
      <c r="E19" s="5" t="n"/>
      <c r="F19" s="5" t="n"/>
      <c r="G19" s="5" t="n"/>
    </row>
    <row r="20">
      <c r="B20" s="9" t="inlineStr">
        <is>
          <t>Situation matrimoniale</t>
        </is>
      </c>
      <c r="C20" s="8" t="inlineStr">
        <is>
          <t>Marié(e)</t>
        </is>
      </c>
      <c r="E20" s="21" t="inlineStr">
        <is>
          <t>Seul le MARIAGE confère la qualité d'héritier légal. Le partenaire de PACS et le concubin n'héritent que par testament (le PACS reste exonéré de droits, pas le concubinage).</t>
        </is>
      </c>
    </row>
    <row r="21">
      <c r="B21" s="9" t="inlineStr">
        <is>
          <t>Régime matrimonial</t>
        </is>
      </c>
      <c r="C21" s="8" t="inlineStr">
        <is>
          <t>Communauté légale (réduite aux acquêts)</t>
        </is>
      </c>
    </row>
    <row r="22">
      <c r="B22" s="9" t="inlineStr">
        <is>
          <t>Date du mariage / du PACS</t>
        </is>
      </c>
      <c r="C22" s="20" t="n">
        <v>37786</v>
      </c>
    </row>
    <row r="23">
      <c r="B23" s="9" t="inlineStr">
        <is>
          <t>Donation au dernier vivant (DDV) en place</t>
        </is>
      </c>
      <c r="C23" s="8" t="inlineStr">
        <is>
          <t>Oui</t>
        </is>
      </c>
      <c r="E23" s="21" t="inlineStr">
        <is>
          <t>Art. 1094-1 C. civ. : élargit les options du conjoint (100 % en usufruit ou 1/4 PP + 3/4 US), y compris en présence d'enfants d'un premier lit.</t>
        </is>
      </c>
    </row>
    <row r="24">
      <c r="B24" s="9" t="inlineStr">
        <is>
          <t>Testament rédigé</t>
        </is>
      </c>
      <c r="C24" s="8" t="inlineStr">
        <is>
          <t>Non</t>
        </is>
      </c>
    </row>
    <row r="26" ht="20" customHeight="1">
      <c r="A26" s="4" t="inlineStr">
        <is>
          <t>4.  ENFANTS</t>
        </is>
      </c>
      <c r="B26" s="5" t="n"/>
      <c r="C26" s="5" t="n"/>
      <c r="D26" s="5" t="n"/>
      <c r="E26" s="5" t="n"/>
      <c r="F26" s="5" t="n"/>
      <c r="G26" s="5" t="n"/>
    </row>
    <row r="27" ht="28" customHeight="1">
      <c r="B27" s="14" t="inlineStr">
        <is>
          <t>Prénom</t>
        </is>
      </c>
      <c r="C27" s="14" t="inlineStr">
        <is>
          <t>Date de naissance</t>
        </is>
      </c>
      <c r="D27" s="14" t="inlineStr">
        <is>
          <t>Âge</t>
        </is>
      </c>
      <c r="E27" s="14" t="inlineStr">
        <is>
          <t>Filiation</t>
        </is>
      </c>
      <c r="F27" s="14" t="inlineStr">
        <is>
          <t>Vivant</t>
        </is>
      </c>
      <c r="G27" s="14" t="inlineStr">
        <is>
          <t>Situation de handicap</t>
        </is>
      </c>
    </row>
    <row r="28">
      <c r="B28" s="23" t="inlineStr">
        <is>
          <t>Chloé</t>
        </is>
      </c>
      <c r="C28" s="20" t="n">
        <v>34585</v>
      </c>
      <c r="D28" s="27">
        <f>IF(C28="","",IFERROR(DATEDIF(C28,DateSimu,"Y"),""))</f>
        <v/>
      </c>
      <c r="E28" s="8" t="inlineStr">
        <is>
          <t>Du client uniquement</t>
        </is>
      </c>
      <c r="F28" s="8" t="inlineStr">
        <is>
          <t>Oui</t>
        </is>
      </c>
      <c r="G28" s="8" t="inlineStr">
        <is>
          <t>Non</t>
        </is>
      </c>
      <c r="I28" s="21" t="inlineStr">
        <is>
          <t>Un enfant prédécédé laissant lui-même des enfants ouvre la représentation (art. 751 C. civ.) : saisissez alors ses enfants sur des lignes distinctes.</t>
        </is>
      </c>
    </row>
    <row r="29">
      <c r="B29" s="23" t="inlineStr">
        <is>
          <t>Lucas</t>
        </is>
      </c>
      <c r="C29" s="20" t="n">
        <v>37762</v>
      </c>
      <c r="D29" s="27">
        <f>IF(C29="","",IFERROR(DATEDIF(C29,DateSimu,"Y"),""))</f>
        <v/>
      </c>
      <c r="E29" s="8" t="inlineStr">
        <is>
          <t>Commun au couple</t>
        </is>
      </c>
      <c r="F29" s="8" t="inlineStr">
        <is>
          <t>Oui</t>
        </is>
      </c>
      <c r="G29" s="8" t="inlineStr">
        <is>
          <t>Non</t>
        </is>
      </c>
    </row>
    <row r="30">
      <c r="B30" s="23" t="inlineStr">
        <is>
          <t>Emma</t>
        </is>
      </c>
      <c r="C30" s="20" t="n">
        <v>39024</v>
      </c>
      <c r="D30" s="27">
        <f>IF(C30="","",IFERROR(DATEDIF(C30,DateSimu,"Y"),""))</f>
        <v/>
      </c>
      <c r="E30" s="8" t="inlineStr">
        <is>
          <t>Commun au couple</t>
        </is>
      </c>
      <c r="F30" s="8" t="inlineStr">
        <is>
          <t>Oui</t>
        </is>
      </c>
      <c r="G30" s="8" t="inlineStr">
        <is>
          <t>Non</t>
        </is>
      </c>
    </row>
    <row r="31">
      <c r="B31" s="23" t="n"/>
      <c r="C31" s="20" t="n"/>
      <c r="D31" s="27">
        <f>IF(C31="","",IFERROR(DATEDIF(C31,DateSimu,"Y"),""))</f>
        <v/>
      </c>
      <c r="E31" s="8" t="n"/>
      <c r="F31" s="8" t="n"/>
      <c r="G31" s="8" t="n"/>
    </row>
    <row r="32">
      <c r="B32" s="23" t="n"/>
      <c r="C32" s="20" t="n"/>
      <c r="D32" s="27">
        <f>IF(C32="","",IFERROR(DATEDIF(C32,DateSimu,"Y"),""))</f>
        <v/>
      </c>
      <c r="E32" s="8" t="n"/>
      <c r="F32" s="8" t="n"/>
      <c r="G32" s="8" t="n"/>
    </row>
    <row r="33">
      <c r="B33" s="23" t="n"/>
      <c r="C33" s="20" t="n"/>
      <c r="D33" s="27">
        <f>IF(C33="","",IFERROR(DATEDIF(C33,DateSimu,"Y"),""))</f>
        <v/>
      </c>
      <c r="E33" s="8" t="n"/>
      <c r="F33" s="8" t="n"/>
      <c r="G33" s="8" t="n"/>
    </row>
    <row r="34">
      <c r="B34" s="23" t="n"/>
      <c r="C34" s="20" t="n"/>
      <c r="D34" s="27">
        <f>IF(C34="","",IFERROR(DATEDIF(C34,DateSimu,"Y"),""))</f>
        <v/>
      </c>
      <c r="E34" s="8" t="n"/>
      <c r="F34" s="8" t="n"/>
      <c r="G34" s="8" t="n"/>
    </row>
    <row r="35">
      <c r="B35" s="23" t="n"/>
      <c r="C35" s="20" t="n"/>
      <c r="D35" s="27">
        <f>IF(C35="","",IFERROR(DATEDIF(C35,DateSimu,"Y"),""))</f>
        <v/>
      </c>
      <c r="E35" s="8" t="n"/>
      <c r="F35" s="8" t="n"/>
      <c r="G35" s="8" t="n"/>
    </row>
    <row r="37">
      <c r="B37" s="24" t="inlineStr">
        <is>
          <t>Enfants vivants communs au couple</t>
        </is>
      </c>
      <c r="C37" s="25">
        <f>COUNTIFS(EnfFiliation,"Commun au couple",EnfVivant,"Oui")</f>
        <v/>
      </c>
    </row>
    <row r="38">
      <c r="B38" s="24" t="inlineStr">
        <is>
          <t>Enfants vivants du client uniquement</t>
        </is>
      </c>
      <c r="C38" s="25">
        <f>COUNTIFS(EnfFiliation,"Du client uniquement",EnfVivant,"Oui")</f>
        <v/>
      </c>
    </row>
    <row r="39">
      <c r="B39" s="24" t="inlineStr">
        <is>
          <t>Enfants vivants du conjoint uniquement</t>
        </is>
      </c>
      <c r="C39" s="25">
        <f>COUNTIFS(EnfFiliation,"Du conjoint uniquement",EnfVivant,"Oui")</f>
        <v/>
      </c>
    </row>
    <row r="40">
      <c r="B40" s="17" t="inlineStr">
        <is>
          <t>TOTAL des enfants héritiers du CLIENT</t>
        </is>
      </c>
      <c r="C40" s="28">
        <f>NbEnfCommuns+NbEnfPropClient</f>
        <v/>
      </c>
    </row>
    <row r="41">
      <c r="B41" s="17" t="inlineStr">
        <is>
          <t>TOTAL des enfants héritiers du CONJOINT</t>
        </is>
      </c>
      <c r="C41" s="28">
        <f>NbEnfCommuns+NbEnfPropConjoint</f>
        <v/>
      </c>
    </row>
    <row r="43" ht="20" customHeight="1">
      <c r="A43" s="4" t="inlineStr">
        <is>
          <t>5.  ASCENDANTS ET COLLATÉRAUX (utiles en l'absence d'enfant)</t>
        </is>
      </c>
      <c r="B43" s="5" t="n"/>
      <c r="C43" s="5" t="n"/>
      <c r="D43" s="5" t="n"/>
      <c r="E43" s="5" t="n"/>
      <c r="F43" s="5" t="n"/>
      <c r="G43" s="5" t="n"/>
    </row>
    <row r="44" ht="28" customHeight="1">
      <c r="B44" s="14" t="inlineStr"/>
      <c r="C44" s="14" t="inlineStr">
        <is>
          <t>CLIENT</t>
        </is>
      </c>
      <c r="D44" s="14" t="inlineStr">
        <is>
          <t>CONJOINT / PARTENAIRE</t>
        </is>
      </c>
      <c r="E44" s="14" t="inlineStr"/>
    </row>
    <row r="45">
      <c r="B45" s="9" t="inlineStr">
        <is>
          <t>Père vivant</t>
        </is>
      </c>
      <c r="C45" s="8" t="inlineStr">
        <is>
          <t>Non</t>
        </is>
      </c>
      <c r="D45" s="8" t="inlineStr">
        <is>
          <t>Oui</t>
        </is>
      </c>
    </row>
    <row r="46">
      <c r="B46" s="9" t="inlineStr">
        <is>
          <t>Mère vivante</t>
        </is>
      </c>
      <c r="C46" s="8" t="inlineStr">
        <is>
          <t>Oui</t>
        </is>
      </c>
      <c r="D46" s="8" t="inlineStr">
        <is>
          <t>Oui</t>
        </is>
      </c>
    </row>
    <row r="47">
      <c r="B47" s="24" t="inlineStr">
        <is>
          <t>Nombre d'ascendants privilégiés survivants</t>
        </is>
      </c>
      <c r="C47" s="25">
        <f>IF(C45="Oui",1,0)+IF(C46="Oui",1,0)</f>
        <v/>
      </c>
      <c r="D47" s="25">
        <f>IF(D45="Oui",1,0)+IF(D46="Oui",1,0)</f>
        <v/>
      </c>
    </row>
    <row r="48">
      <c r="B48" s="9" t="inlineStr">
        <is>
          <t>Nombre de frères et sœurs vivants</t>
        </is>
      </c>
      <c r="C48" s="29" t="n">
        <v>1</v>
      </c>
      <c r="D48" s="29" t="n">
        <v>2</v>
      </c>
    </row>
    <row r="49">
      <c r="B49" s="9" t="inlineStr">
        <is>
          <t>Nombre de neveux / nièces venant en représentation</t>
        </is>
      </c>
      <c r="C49" s="29" t="n">
        <v>0</v>
      </c>
      <c r="D49" s="29" t="n">
        <v>0</v>
      </c>
      <c r="E49" s="21" t="inlineStr">
        <is>
          <t>Neveux et nièces représentant un frère ou une sœur prédécédé (art. 752-2 C. civ.).</t>
        </is>
      </c>
    </row>
    <row r="51" ht="20" customHeight="1">
      <c r="A51" s="4" t="inlineStr">
        <is>
          <t>6.  SITUATION PROFESSIONNELLE ET REVENUS</t>
        </is>
      </c>
      <c r="B51" s="5" t="n"/>
      <c r="C51" s="5" t="n"/>
      <c r="D51" s="5" t="n"/>
      <c r="E51" s="5" t="n"/>
      <c r="F51" s="5" t="n"/>
      <c r="G51" s="5" t="n"/>
    </row>
    <row r="52" ht="28" customHeight="1">
      <c r="B52" s="14" t="inlineStr"/>
      <c r="C52" s="14" t="inlineStr">
        <is>
          <t>CLIENT</t>
        </is>
      </c>
      <c r="D52" s="14" t="inlineStr">
        <is>
          <t>CONJOINT / PARTENAIRE</t>
        </is>
      </c>
      <c r="E52" s="14" t="inlineStr"/>
    </row>
    <row r="53">
      <c r="B53" s="9" t="inlineStr">
        <is>
          <t>Statut professionnel</t>
        </is>
      </c>
      <c r="C53" s="8" t="inlineStr">
        <is>
          <t>Salarié du privé</t>
        </is>
      </c>
      <c r="D53" s="8" t="inlineStr">
        <is>
          <t>Salarié du privé</t>
        </is>
      </c>
      <c r="E53" s="21" t="inlineStr">
        <is>
          <t>Le module retraite est calibré pour le régime général + Agirc-Arrco (salariés du privé). Pour un fonctionnaire ou un indépendant, reportez directement l'estimation de son régime.</t>
        </is>
      </c>
    </row>
    <row r="54">
      <c r="B54" s="9" t="inlineStr">
        <is>
          <t>Profession</t>
        </is>
      </c>
      <c r="C54" s="8" t="inlineStr">
        <is>
          <t>Cadre commercial</t>
        </is>
      </c>
      <c r="D54" s="8" t="inlineStr">
        <is>
          <t>Infirmière</t>
        </is>
      </c>
    </row>
    <row r="55">
      <c r="B55" s="9" t="inlineStr">
        <is>
          <t>Date d'entrée dans la vie active</t>
        </is>
      </c>
      <c r="C55" s="20" t="n">
        <v>33482</v>
      </c>
      <c r="D55" s="20" t="n">
        <v>34608</v>
      </c>
    </row>
    <row r="56">
      <c r="B56" s="9" t="inlineStr">
        <is>
          <t>Revenu annuel BRUT (€)</t>
        </is>
      </c>
      <c r="C56" s="30" t="n">
        <v>78000</v>
      </c>
      <c r="D56" s="30" t="n">
        <v>42000</v>
      </c>
    </row>
    <row r="57">
      <c r="B57" s="9" t="inlineStr">
        <is>
          <t>Revenu annuel NET IMPOSABLE (€)</t>
        </is>
      </c>
      <c r="C57" s="30" t="n">
        <v>62000</v>
      </c>
      <c r="D57" s="30" t="n">
        <v>34000</v>
      </c>
    </row>
    <row r="58">
      <c r="B58" s="9" t="inlineStr">
        <is>
          <t>Revenu NET MENSUEL perçu (€)</t>
        </is>
      </c>
      <c r="C58" s="30" t="n">
        <v>4300</v>
      </c>
      <c r="D58" s="30" t="n">
        <v>2500</v>
      </c>
      <c r="E58" s="21" t="inlineStr">
        <is>
          <t>Sert de base au taux de remplacement à la retraite.</t>
        </is>
      </c>
    </row>
    <row r="60" ht="20" customHeight="1">
      <c r="A60" s="4" t="inlineStr">
        <is>
          <t>7.  FISCALITÉ DU FOYER</t>
        </is>
      </c>
      <c r="B60" s="5" t="n"/>
      <c r="C60" s="5" t="n"/>
      <c r="D60" s="5" t="n"/>
      <c r="E60" s="5" t="n"/>
      <c r="F60" s="5" t="n"/>
      <c r="G60" s="5" t="n"/>
    </row>
    <row r="61">
      <c r="B61" s="9" t="inlineStr">
        <is>
          <t>Nombre de parts fiscales</t>
        </is>
      </c>
      <c r="C61" s="31" t="n">
        <v>3</v>
      </c>
    </row>
    <row r="62">
      <c r="B62" s="24" t="inlineStr">
        <is>
          <t>Revenu net imposable du foyer</t>
        </is>
      </c>
      <c r="C62" s="32">
        <f>RNI_Client+RNI_Conjoint</f>
        <v/>
      </c>
    </row>
    <row r="63">
      <c r="B63" s="24" t="inlineStr">
        <is>
          <t>Quotient familial</t>
        </is>
      </c>
      <c r="C63" s="32">
        <f>IF(PartsFiscales=0,0,RNI_Foyer/PartsFiscales)</f>
        <v/>
      </c>
    </row>
    <row r="64">
      <c r="B64" s="24" t="inlineStr">
        <is>
          <t>Impôt sur le revenu estimé</t>
        </is>
      </c>
      <c r="C64" s="32">
        <f>SUMPRODUCT((QuotientFamilial&gt;IR_Seuil)*(QuotientFamilial-IR_Seuil)*(IR_Taux-IR_Prev))*PartsFiscales</f>
        <v/>
      </c>
      <c r="I64" s="22" t="inlineStr">
        <is>
          <t>ℹ️ Barème progressif appliqué au quotient familial. Hors plafonnement du quotient, décote, réductions et crédits d'impôt : ordre de grandeur destiné au seul calcul de la TMI.</t>
        </is>
      </c>
    </row>
    <row r="65">
      <c r="B65" s="24" t="inlineStr">
        <is>
          <t>Taux moyen d'imposition</t>
        </is>
      </c>
      <c r="C65" s="33">
        <f>IF(RNI_Foyer=0,0,IR_Estime/RNI_Foyer)</f>
        <v/>
      </c>
    </row>
    <row r="66">
      <c r="B66" s="17" t="inlineStr">
        <is>
          <t>TAUX MARGINAL D'IMPOSITION (TMI)</t>
        </is>
      </c>
      <c r="C66" s="34">
        <f>IFERROR(INDEX(IR_Taux,MATCH(QuotientFamilial,IR_Seuil,1)),0)</f>
        <v/>
      </c>
      <c r="E66" s="21" t="inlineStr">
        <is>
          <t>Détermine l'économie d'impôt d'un versement sur un PER (feuille « Retraite_Objectif »).</t>
        </is>
      </c>
    </row>
    <row r="68">
      <c r="B68" s="35" t="inlineStr">
        <is>
          <t>Ce classeur est livré pré-rempli avec un cas fictif d'illustration (famille MARTIN). Écrasez chaque cellule bleue par les données réelles du client.</t>
        </is>
      </c>
    </row>
  </sheetData>
  <dataValidations count="10">
    <dataValidation sqref="C20" showDropDown="0" showInputMessage="0" showErrorMessage="0" allowBlank="1" errorTitle="Valeur non autorisée" error="Choisissez une valeur dans la liste déroulante." type="list">
      <formula1>"Marié(e),Pacsé(e),Concubin(e),Célibataire,Divorcé(e),Veuf(ve)"</formula1>
    </dataValidation>
    <dataValidation sqref="C21" showDropDown="0" showInputMessage="0" showErrorMessage="0" allowBlank="1" errorTitle="Valeur non autorisée" error="Choisissez une valeur dans la liste déroulante." type="list">
      <formula1>"Communauté légale (réduite aux acquêts),Séparation de biens,Communauté universelle,Participation aux acquêts,Sans objet"</formula1>
    </dataValidation>
    <dataValidation sqref="C23" showDropDown="0" showInputMessage="0" showErrorMessage="0" allowBlank="1" errorTitle="Valeur non autorisée" error="Choisissez une valeur dans la liste déroulante." type="list">
      <formula1>"Oui,Non"</formula1>
    </dataValidation>
    <dataValidation sqref="C24" showDropDown="0" showInputMessage="0" showErrorMessage="0" allowBlank="1" errorTitle="Valeur non autorisée" error="Choisissez une valeur dans la liste déroulante." type="list">
      <formula1>"Oui,Non"</formula1>
    </dataValidation>
    <dataValidation sqref="E28:E35" showDropDown="0" showInputMessage="0" showErrorMessage="0" allowBlank="1" errorTitle="Valeur non autorisée" error="Choisissez une valeur dans la liste déroulante." type="list">
      <formula1>"Commun au couple,Du client uniquement,Du conjoint uniquement"</formula1>
    </dataValidation>
    <dataValidation sqref="F28:F35" showDropDown="0" showInputMessage="0" showErrorMessage="0" allowBlank="1" errorTitle="Valeur non autorisée" error="Choisissez une valeur dans la liste déroulante." type="list">
      <formula1>"Oui,Non"</formula1>
    </dataValidation>
    <dataValidation sqref="G28:G35" showDropDown="0" showInputMessage="0" showErrorMessage="0" allowBlank="1" errorTitle="Valeur non autorisée" error="Choisissez une valeur dans la liste déroulante." type="list">
      <formula1>"Oui,Non"</formula1>
    </dataValidation>
    <dataValidation sqref="C45:D45" showDropDown="0" showInputMessage="0" showErrorMessage="0" allowBlank="1" errorTitle="Valeur non autorisée" error="Choisissez une valeur dans la liste déroulante." type="list">
      <formula1>"Oui,Non"</formula1>
    </dataValidation>
    <dataValidation sqref="C46:D46" showDropDown="0" showInputMessage="0" showErrorMessage="0" allowBlank="1" errorTitle="Valeur non autorisée" error="Choisissez une valeur dans la liste déroulante." type="list">
      <formula1>"Oui,Non"</formula1>
    </dataValidation>
    <dataValidation sqref="C53:D53" showDropDown="0" showInputMessage="0" showErrorMessage="0" allowBlank="1" errorTitle="Valeur non autorisée" error="Choisissez une valeur dans la liste déroulante." type="list">
      <formula1>"Salarié du privé,Fonctionnaire,Artisan / Commerçant (TNS),Profession libérale,Dirigeant assimilé salarié,Exploitant agricole,Sans activité,Retraité"</formula1>
    </dataValidation>
  </dataValidations>
  <printOptions horizontalCentered="1"/>
  <pageMargins left="0.75" right="0.75" top="1" bottom="1" header="0.5" footer="0.5"/>
  <pageSetup orientation="portrait" fitToHeight="0" fitToWidth="1"/>
</worksheet>
</file>

<file path=xl/worksheets/sheet3.xml><?xml version="1.0" encoding="utf-8"?>
<worksheet xmlns="http://schemas.openxmlformats.org/spreadsheetml/2006/main">
  <sheetPr>
    <tabColor rgb="002E5C9A"/>
    <outlinePr summaryBelow="1" summaryRight="1"/>
    <pageSetUpPr fitToPage="1"/>
  </sheetPr>
  <dimension ref="A1:L75"/>
  <sheetViews>
    <sheetView showGridLines="0" zoomScale="90" workbookViewId="0">
      <pane ySplit="4" topLeftCell="A5" activePane="bottomLeft" state="frozen"/>
      <selection pane="bottomLeft" activeCell="A1" sqref="A1"/>
    </sheetView>
  </sheetViews>
  <sheetFormatPr baseColWidth="8" defaultRowHeight="15"/>
  <cols>
    <col width="2" customWidth="1" min="1" max="1"/>
    <col width="46" customWidth="1" min="2" max="2"/>
    <col width="38" customWidth="1" min="3" max="3"/>
    <col width="16" customWidth="1" min="4" max="4"/>
    <col width="24" customWidth="1" min="5" max="5"/>
    <col width="12" customWidth="1" min="6" max="6"/>
    <col width="16" customWidth="1" min="7" max="7"/>
    <col width="17" customWidth="1" min="8" max="8"/>
    <col width="13" customWidth="1" min="9" max="9"/>
    <col width="18" customWidth="1" min="10" max="10"/>
    <col width="4" customWidth="1" min="11" max="11"/>
    <col width="62" customWidth="1" min="12" max="12"/>
  </cols>
  <sheetData>
    <row r="1" ht="30" customHeight="1">
      <c r="A1" s="1" t="inlineStr">
        <is>
          <t>PATRIMOINE DU FOYER ET MASSE SUCCESSORALE</t>
        </is>
      </c>
      <c r="B1" s="2" t="n"/>
      <c r="C1" s="2" t="n"/>
      <c r="D1" s="2" t="n"/>
      <c r="E1" s="2" t="n"/>
      <c r="F1" s="2" t="n"/>
      <c r="G1" s="2" t="n"/>
      <c r="H1" s="2" t="n"/>
      <c r="I1" s="2" t="n"/>
      <c r="J1" s="2" t="n"/>
    </row>
    <row r="2" ht="14" customHeight="1">
      <c r="A2" s="3" t="inlineStr">
        <is>
          <t>Inventaire des biens, liquidation du régime matrimonial et détermination de l'actif net successoral qui sera partagé dans la feuille « Devolution ».</t>
        </is>
      </c>
    </row>
    <row r="4" ht="20" customHeight="1">
      <c r="A4" s="4" t="inlineStr">
        <is>
          <t>1.  HYPOTHÈSE DE SIMULATION</t>
        </is>
      </c>
      <c r="B4" s="5" t="n"/>
      <c r="C4" s="5" t="n"/>
      <c r="D4" s="5" t="n"/>
      <c r="E4" s="5" t="n"/>
      <c r="F4" s="5" t="n"/>
      <c r="G4" s="5" t="n"/>
      <c r="H4" s="5" t="n"/>
      <c r="I4" s="5" t="n"/>
      <c r="J4" s="5" t="n"/>
    </row>
    <row r="5">
      <c r="B5" s="17" t="inlineStr">
        <is>
          <t>Simulation du décès de</t>
        </is>
      </c>
      <c r="C5" s="8" t="inlineStr">
        <is>
          <t>Client</t>
        </is>
      </c>
      <c r="E5" s="21" t="inlineStr">
        <is>
          <t>Bascule l'ensemble du classeur : détention des biens, héritiers, abattements. Faites tourner les deux scénarios pour une étude complète.</t>
        </is>
      </c>
    </row>
    <row r="6">
      <c r="B6" s="24" t="inlineStr">
        <is>
          <t>Défunt simulé</t>
        </is>
      </c>
      <c r="C6" s="36">
        <f>IF(Defunt="Client",NomClient,NomConjoint)</f>
        <v/>
      </c>
    </row>
    <row r="7">
      <c r="B7" s="24" t="inlineStr">
        <is>
          <t>Conjoint survivant</t>
        </is>
      </c>
      <c r="C7" s="36">
        <f>IF(Defunt="Client",NomConjoint,NomClient)</f>
        <v/>
      </c>
    </row>
    <row r="8">
      <c r="B8" s="9" t="inlineStr">
        <is>
          <t>Âge du conjoint survivant retenu pour valoriser l'usufruit</t>
        </is>
      </c>
      <c r="C8" s="29">
        <f>IF(Defunt="Client",AgeConjoint,AgeClient)</f>
        <v/>
      </c>
      <c r="L8" s="22" t="inlineStr">
        <is>
          <t>ℹ️ Par défaut : l'âge actuel (décès simulé aujourd'hui). Remplacez par un âge projeté pour simuler un décès plus tardif — le barème de l'article 669 du CGI en dépend directement.</t>
        </is>
      </c>
    </row>
    <row r="9">
      <c r="B9" s="24" t="inlineStr">
        <is>
          <t>Valeur fiscale de l'usufruit (art. 669 CGI)</t>
        </is>
      </c>
      <c r="C9" s="33">
        <f>IFERROR(INDEX(UsuUS,MATCH(AgeUsufruitier,UsuAgeMin,1)),0)</f>
        <v/>
      </c>
      <c r="D9" s="33">
        <f>1-TauxUsufruit</f>
        <v/>
      </c>
      <c r="E9" s="21" t="inlineStr">
        <is>
          <t>← valeur de la nue-propriété</t>
        </is>
      </c>
    </row>
    <row r="11" ht="20" customHeight="1">
      <c r="A11" s="4" t="inlineStr">
        <is>
          <t>2.  ACTIF DU PATRIMOINE (hors assurance-vie, traitée sur sa propre feuille)</t>
        </is>
      </c>
      <c r="B11" s="5" t="n"/>
      <c r="C11" s="5" t="n"/>
      <c r="D11" s="5" t="n"/>
      <c r="E11" s="5" t="n"/>
      <c r="F11" s="5" t="n"/>
      <c r="G11" s="5" t="n"/>
      <c r="H11" s="5" t="n"/>
      <c r="I11" s="5" t="n"/>
      <c r="J11" s="5" t="n"/>
    </row>
    <row r="12" ht="28" customHeight="1">
      <c r="B12" s="14" t="inlineStr">
        <is>
          <t>Catégorie</t>
        </is>
      </c>
      <c r="C12" s="14" t="inlineStr">
        <is>
          <t>Désignation du bien</t>
        </is>
      </c>
      <c r="D12" s="14" t="inlineStr">
        <is>
          <t>Valeur vénale du bien (€)</t>
        </is>
      </c>
      <c r="E12" s="14" t="inlineStr">
        <is>
          <t>Mode de détention</t>
        </is>
      </c>
      <c r="F12" s="14" t="inlineStr">
        <is>
          <t>Quote-part détenue par le foyer</t>
        </is>
      </c>
      <c r="G12" s="14" t="inlineStr">
        <is>
          <t>Capital restant dû (€)</t>
        </is>
      </c>
      <c r="H12" s="14" t="inlineStr">
        <is>
          <t>Valeur nette détenue (€)</t>
        </is>
      </c>
      <c r="I12" s="14" t="inlineStr">
        <is>
          <t>% entrant dans la succession</t>
        </is>
      </c>
      <c r="J12" s="14" t="inlineStr">
        <is>
          <t>Quote-part successorale nette (€)</t>
        </is>
      </c>
    </row>
    <row r="13">
      <c r="B13" s="23" t="inlineStr">
        <is>
          <t>Résidence principale</t>
        </is>
      </c>
      <c r="C13" s="23" t="inlineStr">
        <is>
          <t>Maison — Villeurbanne</t>
        </is>
      </c>
      <c r="D13" s="37" t="n">
        <v>450000</v>
      </c>
      <c r="E13" s="8" t="inlineStr">
        <is>
          <t>Commun (communauté)</t>
        </is>
      </c>
      <c r="F13" s="38" t="n">
        <v>1</v>
      </c>
      <c r="G13" s="37" t="n">
        <v>92000</v>
      </c>
      <c r="H13" s="39">
        <f>IFERROR(D13*F13-G13,0)</f>
        <v/>
      </c>
      <c r="I13" s="40">
        <f>IF($E13="Propre - Client",IF(Defunt="Client",1,0),IF($E13="Propre - Conjoint",IF(Defunt="Conjoint",1,0),IF($E13="Commun (communauté)",0.5,IF($E13="Indivision - Client",IF(Defunt="Client",1,0),IF($E13="Indivision - Conjoint",IF(Defunt="Conjoint",1,0),0)))))</f>
        <v/>
      </c>
      <c r="J13" s="39">
        <f>H13*I13</f>
        <v/>
      </c>
    </row>
    <row r="14">
      <c r="B14" s="23" t="inlineStr">
        <is>
          <t>Résidence secondaire</t>
        </is>
      </c>
      <c r="C14" s="23" t="inlineStr">
        <is>
          <t>Appartement — Annecy</t>
        </is>
      </c>
      <c r="D14" s="37" t="n">
        <v>185000</v>
      </c>
      <c r="E14" s="8" t="inlineStr">
        <is>
          <t>Propre - Client</t>
        </is>
      </c>
      <c r="F14" s="38" t="n">
        <v>1</v>
      </c>
      <c r="G14" s="37" t="n">
        <v>0</v>
      </c>
      <c r="H14" s="39">
        <f>IFERROR(D14*F14-G14,0)</f>
        <v/>
      </c>
      <c r="I14" s="40">
        <f>IF($E14="Propre - Client",IF(Defunt="Client",1,0),IF($E14="Propre - Conjoint",IF(Defunt="Conjoint",1,0),IF($E14="Commun (communauté)",0.5,IF($E14="Indivision - Client",IF(Defunt="Client",1,0),IF($E14="Indivision - Conjoint",IF(Defunt="Conjoint",1,0),0)))))</f>
        <v/>
      </c>
      <c r="J14" s="39">
        <f>H14*I14</f>
        <v/>
      </c>
    </row>
    <row r="15">
      <c r="B15" s="23" t="inlineStr">
        <is>
          <t>Immobilier locatif</t>
        </is>
      </c>
      <c r="C15" s="23" t="inlineStr">
        <is>
          <t>T3 — Lyon 7e</t>
        </is>
      </c>
      <c r="D15" s="37" t="n">
        <v>240000</v>
      </c>
      <c r="E15" s="8" t="inlineStr">
        <is>
          <t>Commun (communauté)</t>
        </is>
      </c>
      <c r="F15" s="38" t="n">
        <v>1</v>
      </c>
      <c r="G15" s="37" t="n">
        <v>138000</v>
      </c>
      <c r="H15" s="39">
        <f>IFERROR(D15*F15-G15,0)</f>
        <v/>
      </c>
      <c r="I15" s="40">
        <f>IF($E15="Propre - Client",IF(Defunt="Client",1,0),IF($E15="Propre - Conjoint",IF(Defunt="Conjoint",1,0),IF($E15="Commun (communauté)",0.5,IF($E15="Indivision - Client",IF(Defunt="Client",1,0),IF($E15="Indivision - Conjoint",IF(Defunt="Conjoint",1,0),0)))))</f>
        <v/>
      </c>
      <c r="J15" s="39">
        <f>H15*I15</f>
        <v/>
      </c>
    </row>
    <row r="16">
      <c r="B16" s="23" t="inlineStr">
        <is>
          <t>Immobilier locatif</t>
        </is>
      </c>
      <c r="C16" s="23" t="inlineStr">
        <is>
          <t>Studio — Grenoble (indivis avec sa sœur)</t>
        </is>
      </c>
      <c r="D16" s="37" t="n">
        <v>160000</v>
      </c>
      <c r="E16" s="8" t="inlineStr">
        <is>
          <t>Indivision - Client</t>
        </is>
      </c>
      <c r="F16" s="38" t="n">
        <v>0.5</v>
      </c>
      <c r="G16" s="37" t="n">
        <v>0</v>
      </c>
      <c r="H16" s="39">
        <f>IFERROR(D16*F16-G16,0)</f>
        <v/>
      </c>
      <c r="I16" s="40">
        <f>IF($E16="Propre - Client",IF(Defunt="Client",1,0),IF($E16="Propre - Conjoint",IF(Defunt="Conjoint",1,0),IF($E16="Commun (communauté)",0.5,IF($E16="Indivision - Client",IF(Defunt="Client",1,0),IF($E16="Indivision - Conjoint",IF(Defunt="Conjoint",1,0),0)))))</f>
        <v/>
      </c>
      <c r="J16" s="39">
        <f>H16*I16</f>
        <v/>
      </c>
    </row>
    <row r="17">
      <c r="B17" s="23" t="inlineStr">
        <is>
          <t>Liquidités et livrets</t>
        </is>
      </c>
      <c r="C17" s="23" t="inlineStr">
        <is>
          <t>Comptes courants, Livret A, LDDS</t>
        </is>
      </c>
      <c r="D17" s="37" t="n">
        <v>62000</v>
      </c>
      <c r="E17" s="8" t="inlineStr">
        <is>
          <t>Commun (communauté)</t>
        </is>
      </c>
      <c r="F17" s="38" t="n">
        <v>1</v>
      </c>
      <c r="G17" s="37" t="n">
        <v>0</v>
      </c>
      <c r="H17" s="39">
        <f>IFERROR(D17*F17-G17,0)</f>
        <v/>
      </c>
      <c r="I17" s="40">
        <f>IF($E17="Propre - Client",IF(Defunt="Client",1,0),IF($E17="Propre - Conjoint",IF(Defunt="Conjoint",1,0),IF($E17="Commun (communauté)",0.5,IF($E17="Indivision - Client",IF(Defunt="Client",1,0),IF($E17="Indivision - Conjoint",IF(Defunt="Conjoint",1,0),0)))))</f>
        <v/>
      </c>
      <c r="J17" s="39">
        <f>H17*I17</f>
        <v/>
      </c>
    </row>
    <row r="18">
      <c r="B18" s="23" t="inlineStr">
        <is>
          <t>Comptes-titres / PEA</t>
        </is>
      </c>
      <c r="C18" s="23" t="inlineStr">
        <is>
          <t>PEA — Client</t>
        </is>
      </c>
      <c r="D18" s="37" t="n">
        <v>118000</v>
      </c>
      <c r="E18" s="8" t="inlineStr">
        <is>
          <t>Propre - Client</t>
        </is>
      </c>
      <c r="F18" s="38" t="n">
        <v>1</v>
      </c>
      <c r="G18" s="37" t="n">
        <v>0</v>
      </c>
      <c r="H18" s="39">
        <f>IFERROR(D18*F18-G18,0)</f>
        <v/>
      </c>
      <c r="I18" s="40">
        <f>IF($E18="Propre - Client",IF(Defunt="Client",1,0),IF($E18="Propre - Conjoint",IF(Defunt="Conjoint",1,0),IF($E18="Commun (communauté)",0.5,IF($E18="Indivision - Client",IF(Defunt="Client",1,0),IF($E18="Indivision - Conjoint",IF(Defunt="Conjoint",1,0),0)))))</f>
        <v/>
      </c>
      <c r="J18" s="39">
        <f>H18*I18</f>
        <v/>
      </c>
    </row>
    <row r="19">
      <c r="B19" s="23" t="inlineStr">
        <is>
          <t>Comptes-titres / PEA</t>
        </is>
      </c>
      <c r="C19" s="23" t="inlineStr">
        <is>
          <t>PEA — Conjoint</t>
        </is>
      </c>
      <c r="D19" s="37" t="n">
        <v>45000</v>
      </c>
      <c r="E19" s="8" t="inlineStr">
        <is>
          <t>Propre - Conjoint</t>
        </is>
      </c>
      <c r="F19" s="38" t="n">
        <v>1</v>
      </c>
      <c r="G19" s="37" t="n">
        <v>0</v>
      </c>
      <c r="H19" s="39">
        <f>IFERROR(D19*F19-G19,0)</f>
        <v/>
      </c>
      <c r="I19" s="40">
        <f>IF($E19="Propre - Client",IF(Defunt="Client",1,0),IF($E19="Propre - Conjoint",IF(Defunt="Conjoint",1,0),IF($E19="Commun (communauté)",0.5,IF($E19="Indivision - Client",IF(Defunt="Client",1,0),IF($E19="Indivision - Conjoint",IF(Defunt="Conjoint",1,0),0)))))</f>
        <v/>
      </c>
      <c r="J19" s="39">
        <f>H19*I19</f>
        <v/>
      </c>
    </row>
    <row r="20">
      <c r="B20" s="23" t="inlineStr">
        <is>
          <t>Parts de société / entreprise</t>
        </is>
      </c>
      <c r="C20" s="23" t="inlineStr">
        <is>
          <t>SARL Martin Conseil (100 % des parts)</t>
        </is>
      </c>
      <c r="D20" s="37" t="n">
        <v>300000</v>
      </c>
      <c r="E20" s="8" t="inlineStr">
        <is>
          <t>Propre - Client</t>
        </is>
      </c>
      <c r="F20" s="38" t="n">
        <v>1</v>
      </c>
      <c r="G20" s="37" t="n">
        <v>0</v>
      </c>
      <c r="H20" s="39">
        <f>IFERROR(D20*F20-G20,0)</f>
        <v/>
      </c>
      <c r="I20" s="40">
        <f>IF($E20="Propre - Client",IF(Defunt="Client",1,0),IF($E20="Propre - Conjoint",IF(Defunt="Conjoint",1,0),IF($E20="Commun (communauté)",0.5,IF($E20="Indivision - Client",IF(Defunt="Client",1,0),IF($E20="Indivision - Conjoint",IF(Defunt="Conjoint",1,0),0)))))</f>
        <v/>
      </c>
      <c r="J20" s="39">
        <f>H20*I20</f>
        <v/>
      </c>
    </row>
    <row r="21">
      <c r="B21" s="23" t="inlineStr">
        <is>
          <t>Biens meubles et divers</t>
        </is>
      </c>
      <c r="C21" s="23" t="inlineStr">
        <is>
          <t>Véhicules, mobilier, objets</t>
        </is>
      </c>
      <c r="D21" s="37" t="n">
        <v>35000</v>
      </c>
      <c r="E21" s="8" t="inlineStr">
        <is>
          <t>Commun (communauté)</t>
        </is>
      </c>
      <c r="F21" s="38" t="n">
        <v>1</v>
      </c>
      <c r="G21" s="37" t="n">
        <v>0</v>
      </c>
      <c r="H21" s="39">
        <f>IFERROR(D21*F21-G21,0)</f>
        <v/>
      </c>
      <c r="I21" s="40">
        <f>IF($E21="Propre - Client",IF(Defunt="Client",1,0),IF($E21="Propre - Conjoint",IF(Defunt="Conjoint",1,0),IF($E21="Commun (communauté)",0.5,IF($E21="Indivision - Client",IF(Defunt="Client",1,0),IF($E21="Indivision - Conjoint",IF(Defunt="Conjoint",1,0),0)))))</f>
        <v/>
      </c>
      <c r="J21" s="39">
        <f>H21*I21</f>
        <v/>
      </c>
    </row>
    <row r="22">
      <c r="B22" s="23" t="n"/>
      <c r="C22" s="23" t="n"/>
      <c r="D22" s="37" t="n"/>
      <c r="E22" s="8" t="n"/>
      <c r="F22" s="38" t="n">
        <v>1</v>
      </c>
      <c r="G22" s="37" t="n"/>
      <c r="H22" s="39">
        <f>IFERROR(D22*F22-G22,0)</f>
        <v/>
      </c>
      <c r="I22" s="40">
        <f>IF($E22="Propre - Client",IF(Defunt="Client",1,0),IF($E22="Propre - Conjoint",IF(Defunt="Conjoint",1,0),IF($E22="Commun (communauté)",0.5,IF($E22="Indivision - Client",IF(Defunt="Client",1,0),IF($E22="Indivision - Conjoint",IF(Defunt="Conjoint",1,0),0)))))</f>
        <v/>
      </c>
      <c r="J22" s="39">
        <f>H22*I22</f>
        <v/>
      </c>
    </row>
    <row r="23">
      <c r="B23" s="23" t="n"/>
      <c r="C23" s="23" t="n"/>
      <c r="D23" s="37" t="n"/>
      <c r="E23" s="8" t="n"/>
      <c r="F23" s="38" t="n">
        <v>1</v>
      </c>
      <c r="G23" s="37" t="n"/>
      <c r="H23" s="39">
        <f>IFERROR(D23*F23-G23,0)</f>
        <v/>
      </c>
      <c r="I23" s="40">
        <f>IF($E23="Propre - Client",IF(Defunt="Client",1,0),IF($E23="Propre - Conjoint",IF(Defunt="Conjoint",1,0),IF($E23="Commun (communauté)",0.5,IF($E23="Indivision - Client",IF(Defunt="Client",1,0),IF($E23="Indivision - Conjoint",IF(Defunt="Conjoint",1,0),0)))))</f>
        <v/>
      </c>
      <c r="J23" s="39">
        <f>H23*I23</f>
        <v/>
      </c>
    </row>
    <row r="24">
      <c r="B24" s="23" t="n"/>
      <c r="C24" s="23" t="n"/>
      <c r="D24" s="37" t="n"/>
      <c r="E24" s="8" t="n"/>
      <c r="F24" s="38" t="n">
        <v>1</v>
      </c>
      <c r="G24" s="37" t="n"/>
      <c r="H24" s="39">
        <f>IFERROR(D24*F24-G24,0)</f>
        <v/>
      </c>
      <c r="I24" s="40">
        <f>IF($E24="Propre - Client",IF(Defunt="Client",1,0),IF($E24="Propre - Conjoint",IF(Defunt="Conjoint",1,0),IF($E24="Commun (communauté)",0.5,IF($E24="Indivision - Client",IF(Defunt="Client",1,0),IF($E24="Indivision - Conjoint",IF(Defunt="Conjoint",1,0),0)))))</f>
        <v/>
      </c>
      <c r="J24" s="39">
        <f>H24*I24</f>
        <v/>
      </c>
    </row>
    <row r="25">
      <c r="B25" s="23" t="n"/>
      <c r="C25" s="23" t="n"/>
      <c r="D25" s="37" t="n"/>
      <c r="E25" s="8" t="n"/>
      <c r="F25" s="38" t="n">
        <v>1</v>
      </c>
      <c r="G25" s="37" t="n"/>
      <c r="H25" s="39">
        <f>IFERROR(D25*F25-G25,0)</f>
        <v/>
      </c>
      <c r="I25" s="40">
        <f>IF($E25="Propre - Client",IF(Defunt="Client",1,0),IF($E25="Propre - Conjoint",IF(Defunt="Conjoint",1,0),IF($E25="Commun (communauté)",0.5,IF($E25="Indivision - Client",IF(Defunt="Client",1,0),IF($E25="Indivision - Conjoint",IF(Defunt="Conjoint",1,0),0)))))</f>
        <v/>
      </c>
      <c r="J25" s="39">
        <f>H25*I25</f>
        <v/>
      </c>
    </row>
    <row r="26">
      <c r="B26" s="23" t="n"/>
      <c r="C26" s="23" t="n"/>
      <c r="D26" s="37" t="n"/>
      <c r="E26" s="8" t="n"/>
      <c r="F26" s="38" t="n">
        <v>1</v>
      </c>
      <c r="G26" s="37" t="n"/>
      <c r="H26" s="39">
        <f>IFERROR(D26*F26-G26,0)</f>
        <v/>
      </c>
      <c r="I26" s="40">
        <f>IF($E26="Propre - Client",IF(Defunt="Client",1,0),IF($E26="Propre - Conjoint",IF(Defunt="Conjoint",1,0),IF($E26="Commun (communauté)",0.5,IF($E26="Indivision - Client",IF(Defunt="Client",1,0),IF($E26="Indivision - Conjoint",IF(Defunt="Conjoint",1,0),0)))))</f>
        <v/>
      </c>
      <c r="J26" s="39">
        <f>H26*I26</f>
        <v/>
      </c>
    </row>
    <row r="27">
      <c r="B27" s="23" t="n"/>
      <c r="C27" s="23" t="n"/>
      <c r="D27" s="37" t="n"/>
      <c r="E27" s="8" t="n"/>
      <c r="F27" s="38" t="n">
        <v>1</v>
      </c>
      <c r="G27" s="37" t="n"/>
      <c r="H27" s="39">
        <f>IFERROR(D27*F27-G27,0)</f>
        <v/>
      </c>
      <c r="I27" s="40">
        <f>IF($E27="Propre - Client",IF(Defunt="Client",1,0),IF($E27="Propre - Conjoint",IF(Defunt="Conjoint",1,0),IF($E27="Commun (communauté)",0.5,IF($E27="Indivision - Client",IF(Defunt="Client",1,0),IF($E27="Indivision - Conjoint",IF(Defunt="Conjoint",1,0),0)))))</f>
        <v/>
      </c>
      <c r="J27" s="39">
        <f>H27*I27</f>
        <v/>
      </c>
    </row>
    <row r="28">
      <c r="B28" s="23" t="n"/>
      <c r="C28" s="23" t="n"/>
      <c r="D28" s="37" t="n"/>
      <c r="E28" s="8" t="n"/>
      <c r="F28" s="38" t="n">
        <v>1</v>
      </c>
      <c r="G28" s="37" t="n"/>
      <c r="H28" s="39">
        <f>IFERROR(D28*F28-G28,0)</f>
        <v/>
      </c>
      <c r="I28" s="40">
        <f>IF($E28="Propre - Client",IF(Defunt="Client",1,0),IF($E28="Propre - Conjoint",IF(Defunt="Conjoint",1,0),IF($E28="Commun (communauté)",0.5,IF($E28="Indivision - Client",IF(Defunt="Client",1,0),IF($E28="Indivision - Conjoint",IF(Defunt="Conjoint",1,0),0)))))</f>
        <v/>
      </c>
      <c r="J28" s="39">
        <f>H28*I28</f>
        <v/>
      </c>
    </row>
    <row r="29">
      <c r="B29" s="23" t="n"/>
      <c r="C29" s="23" t="n"/>
      <c r="D29" s="37" t="n"/>
      <c r="E29" s="8" t="n"/>
      <c r="F29" s="38" t="n">
        <v>1</v>
      </c>
      <c r="G29" s="37" t="n"/>
      <c r="H29" s="39">
        <f>IFERROR(D29*F29-G29,0)</f>
        <v/>
      </c>
      <c r="I29" s="40">
        <f>IF($E29="Propre - Client",IF(Defunt="Client",1,0),IF($E29="Propre - Conjoint",IF(Defunt="Conjoint",1,0),IF($E29="Commun (communauté)",0.5,IF($E29="Indivision - Client",IF(Defunt="Client",1,0),IF($E29="Indivision - Conjoint",IF(Defunt="Conjoint",1,0),0)))))</f>
        <v/>
      </c>
      <c r="J29" s="39">
        <f>H29*I29</f>
        <v/>
      </c>
    </row>
    <row r="30">
      <c r="B30" s="23" t="n"/>
      <c r="C30" s="23" t="n"/>
      <c r="D30" s="37" t="n"/>
      <c r="E30" s="8" t="n"/>
      <c r="F30" s="38" t="n">
        <v>1</v>
      </c>
      <c r="G30" s="37" t="n"/>
      <c r="H30" s="39">
        <f>IFERROR(D30*F30-G30,0)</f>
        <v/>
      </c>
      <c r="I30" s="40">
        <f>IF($E30="Propre - Client",IF(Defunt="Client",1,0),IF($E30="Propre - Conjoint",IF(Defunt="Conjoint",1,0),IF($E30="Commun (communauté)",0.5,IF($E30="Indivision - Client",IF(Defunt="Client",1,0),IF($E30="Indivision - Conjoint",IF(Defunt="Conjoint",1,0),0)))))</f>
        <v/>
      </c>
      <c r="J30" s="39">
        <f>H30*I30</f>
        <v/>
      </c>
    </row>
    <row r="31">
      <c r="B31" s="17" t="inlineStr">
        <is>
          <t>TOTAL DE L'ACTIF</t>
        </is>
      </c>
      <c r="D31" s="41">
        <f>SUM(D13:D30)</f>
        <v/>
      </c>
      <c r="G31" s="41">
        <f>SUM(G13:G30)</f>
        <v/>
      </c>
      <c r="H31" s="41">
        <f>SUM(H13:H30)</f>
        <v/>
      </c>
      <c r="J31" s="41">
        <f>SUM(J13:J30)</f>
        <v/>
      </c>
    </row>
    <row r="32">
      <c r="B32" s="21" t="inlineStr">
        <is>
          <t>Quote-part détenue : laissez 100 % sauf indivision avec un tiers. Communauté universelle avec clause d'attribution intégrale : saisissez la détention « Propre - Conjoint » pour neutraliser la transmission.</t>
        </is>
      </c>
    </row>
    <row r="34" ht="20" customHeight="1">
      <c r="A34" s="4" t="inlineStr">
        <is>
          <t>3.  PASSIF NON ADOSSÉ À UN BIEN (dettes diverses, impôts, découverts)</t>
        </is>
      </c>
      <c r="B34" s="5" t="n"/>
      <c r="C34" s="5" t="n"/>
      <c r="D34" s="5" t="n"/>
      <c r="E34" s="5" t="n"/>
      <c r="F34" s="5" t="n"/>
      <c r="G34" s="5" t="n"/>
      <c r="H34" s="5" t="n"/>
      <c r="I34" s="5" t="n"/>
      <c r="J34" s="5" t="n"/>
    </row>
    <row r="35" ht="28" customHeight="1">
      <c r="B35" s="14" t="inlineStr">
        <is>
          <t>Nature de la dette</t>
        </is>
      </c>
      <c r="C35" s="14" t="inlineStr">
        <is>
          <t>Créancier</t>
        </is>
      </c>
      <c r="D35" s="14" t="inlineStr">
        <is>
          <t>Montant restant dû (€)</t>
        </is>
      </c>
      <c r="E35" s="14" t="inlineStr">
        <is>
          <t>Redevable</t>
        </is>
      </c>
      <c r="F35" s="14" t="inlineStr"/>
      <c r="G35" s="14" t="inlineStr"/>
      <c r="H35" s="14" t="inlineStr"/>
      <c r="I35" s="14" t="inlineStr"/>
      <c r="J35" s="14" t="inlineStr">
        <is>
          <t>Quote-part à la charge du défunt (€)</t>
        </is>
      </c>
    </row>
    <row r="36">
      <c r="B36" s="23" t="inlineStr">
        <is>
          <t>Prêt à la consommation</t>
        </is>
      </c>
      <c r="C36" s="23" t="inlineStr">
        <is>
          <t>Banque</t>
        </is>
      </c>
      <c r="D36" s="37" t="n">
        <v>12000</v>
      </c>
      <c r="E36" s="8" t="inlineStr">
        <is>
          <t>Commun</t>
        </is>
      </c>
      <c r="J36" s="39">
        <f>D36*IF($E36="Client",IF(Defunt="Client",1,0),IF($E36="Conjoint",IF(Defunt="Conjoint",1,0),IF($E36="Commun",0.5,0)))</f>
        <v/>
      </c>
    </row>
    <row r="37">
      <c r="B37" s="23" t="n"/>
      <c r="C37" s="23" t="n"/>
      <c r="D37" s="37" t="n"/>
      <c r="E37" s="8" t="n"/>
      <c r="J37" s="39">
        <f>D37*IF($E37="Client",IF(Defunt="Client",1,0),IF($E37="Conjoint",IF(Defunt="Conjoint",1,0),IF($E37="Commun",0.5,0)))</f>
        <v/>
      </c>
    </row>
    <row r="38">
      <c r="B38" s="23" t="n"/>
      <c r="C38" s="23" t="n"/>
      <c r="D38" s="37" t="n"/>
      <c r="E38" s="8" t="n"/>
      <c r="J38" s="39">
        <f>D38*IF($E38="Client",IF(Defunt="Client",1,0),IF($E38="Conjoint",IF(Defunt="Conjoint",1,0),IF($E38="Commun",0.5,0)))</f>
        <v/>
      </c>
    </row>
    <row r="39">
      <c r="B39" s="23" t="n"/>
      <c r="C39" s="23" t="n"/>
      <c r="D39" s="37" t="n"/>
      <c r="E39" s="8" t="n"/>
      <c r="J39" s="39">
        <f>D39*IF($E39="Client",IF(Defunt="Client",1,0),IF($E39="Conjoint",IF(Defunt="Conjoint",1,0),IF($E39="Commun",0.5,0)))</f>
        <v/>
      </c>
    </row>
    <row r="40">
      <c r="B40" s="23" t="n"/>
      <c r="C40" s="23" t="n"/>
      <c r="D40" s="37" t="n"/>
      <c r="E40" s="8" t="n"/>
      <c r="J40" s="39">
        <f>D40*IF($E40="Client",IF(Defunt="Client",1,0),IF($E40="Conjoint",IF(Defunt="Conjoint",1,0),IF($E40="Commun",0.5,0)))</f>
        <v/>
      </c>
    </row>
    <row r="41">
      <c r="B41" s="23" t="n"/>
      <c r="C41" s="23" t="n"/>
      <c r="D41" s="37" t="n"/>
      <c r="E41" s="8" t="n"/>
      <c r="J41" s="39">
        <f>D41*IF($E41="Client",IF(Defunt="Client",1,0),IF($E41="Conjoint",IF(Defunt="Conjoint",1,0),IF($E41="Commun",0.5,0)))</f>
        <v/>
      </c>
    </row>
    <row r="42">
      <c r="B42" s="17" t="inlineStr">
        <is>
          <t>TOTAL DU PASSIF DIVERS</t>
        </is>
      </c>
      <c r="D42" s="41">
        <f>SUM(D36:D41)</f>
        <v/>
      </c>
      <c r="J42" s="41">
        <f>SUM(J36:J41)</f>
        <v/>
      </c>
    </row>
    <row r="44" ht="20" customHeight="1">
      <c r="A44" s="4" t="inlineStr">
        <is>
          <t>4.  DÉTERMINATION DE LA MASSE SUCCESSORALE</t>
        </is>
      </c>
      <c r="B44" s="5" t="n"/>
      <c r="C44" s="5" t="n"/>
      <c r="D44" s="5" t="n"/>
      <c r="E44" s="5" t="n"/>
      <c r="F44" s="5" t="n"/>
      <c r="G44" s="5" t="n"/>
      <c r="H44" s="5" t="n"/>
      <c r="I44" s="5" t="n"/>
      <c r="J44" s="5" t="n"/>
    </row>
    <row r="45">
      <c r="B45" s="9" t="inlineStr">
        <is>
          <t>Le conjoint ou un enfant occupe la résidence principale</t>
        </is>
      </c>
      <c r="C45" s="8" t="inlineStr">
        <is>
          <t>Oui</t>
        </is>
      </c>
      <c r="E45" s="21" t="inlineStr">
        <is>
          <t>Condition de l'abattement de 20 % de l'article 764 bis du CGI.</t>
        </is>
      </c>
    </row>
    <row r="46">
      <c r="B46" s="9" t="inlineStr">
        <is>
          <t>Appliquer le forfait mobilier de 5 % (art. 764 CGI)</t>
        </is>
      </c>
      <c r="C46" s="8" t="inlineStr">
        <is>
          <t>Non</t>
        </is>
      </c>
      <c r="E46" s="21" t="inlineStr">
        <is>
          <t>À activer si le mobilier n'est PAS déjà inventorié dans l'actif ci-dessus. L'exemple livré déclare le mobilier ligne à ligne : le forfait est donc désactivé.</t>
        </is>
      </c>
    </row>
    <row r="48">
      <c r="B48" s="9" t="inlineStr">
        <is>
          <t>Actif brut successoral (quote-part du défunt)</t>
        </is>
      </c>
      <c r="D48" s="39">
        <f>ActifSuccBrut</f>
        <v/>
      </c>
    </row>
    <row r="49">
      <c r="B49" s="9" t="inlineStr">
        <is>
          <t>Forfait mobilier de 5 % (à ajouter)</t>
        </is>
      </c>
      <c r="D49" s="39">
        <f>IF(ForfaitMobilierOn="Oui",ActifSuccBrut*ForfaitMobilier,0)</f>
        <v/>
      </c>
    </row>
    <row r="50">
      <c r="B50" s="9" t="inlineStr">
        <is>
          <t>− Passif divers à la charge du défunt</t>
        </is>
      </c>
      <c r="D50" s="39">
        <f>-PassifDiversDefunt</f>
        <v/>
      </c>
    </row>
    <row r="51">
      <c r="B51" s="9" t="inlineStr">
        <is>
          <t>− Frais funéraires (forfait art. 775 CGI)</t>
        </is>
      </c>
      <c r="D51" s="39">
        <f>-FraisFuneraires</f>
        <v/>
      </c>
    </row>
    <row r="52">
      <c r="B52" s="17" t="inlineStr">
        <is>
          <t>ACTIF NET SUCCESSORAL (masse civile à partager)</t>
        </is>
      </c>
      <c r="D52" s="42">
        <f>SUM(D48:D51)</f>
        <v/>
      </c>
    </row>
    <row r="53">
      <c r="B53" s="9" t="inlineStr">
        <is>
          <t>− Abattement de 20 % sur la résidence principale</t>
        </is>
      </c>
      <c r="D53" s="39">
        <f>-IF(OccupationRP="Oui",SUMIFS(ActPartSucc,ActCategorie,"Résidence principale")*AbatRP,0)</f>
        <v/>
      </c>
    </row>
    <row r="54">
      <c r="B54" s="17" t="inlineStr">
        <is>
          <t>ASSIETTE TAXABLE AUX DROITS DE SUCCESSION</t>
        </is>
      </c>
      <c r="D54" s="42">
        <f>D52+D53</f>
        <v/>
      </c>
    </row>
    <row r="55">
      <c r="B55" s="24" t="inlineStr">
        <is>
          <t>Coefficient de passage masse civile → assiette fiscale</t>
        </is>
      </c>
      <c r="D55" s="43">
        <f>IF(MasseCivile=0,1,MasseFiscale/MasseCivile)</f>
        <v/>
      </c>
      <c r="L55" s="22" t="inlineStr">
        <is>
          <t>ℹ️ L'abattement de 20 % sur la résidence principale réduit l'assiette fiscale sans modifier le partage civil. Ce coefficient applique la réduction au prorata sur la part de chaque héritier.</t>
        </is>
      </c>
    </row>
    <row r="57" ht="20" customHeight="1">
      <c r="A57" s="4" t="inlineStr">
        <is>
          <t>5.  DONATIONS ANTÉRIEURES CONSENTIES PAR LE DÉFUNT (rappel fiscal de 15 ans)</t>
        </is>
      </c>
      <c r="B57" s="5" t="n"/>
      <c r="C57" s="5" t="n"/>
      <c r="D57" s="5" t="n"/>
      <c r="E57" s="5" t="n"/>
      <c r="F57" s="5" t="n"/>
      <c r="G57" s="5" t="n"/>
      <c r="H57" s="5" t="n"/>
      <c r="I57" s="5" t="n"/>
      <c r="J57" s="5" t="n"/>
    </row>
    <row r="58" ht="28" customHeight="1">
      <c r="B58" s="14" t="inlineStr">
        <is>
          <t>Donataire (prénom, identique à la feuille Client)</t>
        </is>
      </c>
      <c r="C58" s="14" t="inlineStr">
        <is>
          <t>Donateur</t>
        </is>
      </c>
      <c r="D58" s="14" t="inlineStr">
        <is>
          <t>Lien de parenté avec le donateur</t>
        </is>
      </c>
      <c r="E58" s="14" t="inlineStr">
        <is>
          <t>Date de la donation</t>
        </is>
      </c>
      <c r="F58" s="14" t="inlineStr">
        <is>
          <t>Montant donné (€)</t>
        </is>
      </c>
      <c r="G58" s="14" t="inlineStr">
        <is>
          <t>Rappelable ?</t>
        </is>
      </c>
      <c r="H58" s="14" t="inlineStr">
        <is>
          <t>Abattement déjà consommé (€)</t>
        </is>
      </c>
      <c r="I58" s="14" t="inlineStr"/>
      <c r="J58" s="14" t="inlineStr"/>
    </row>
    <row r="59">
      <c r="B59" s="23" t="inlineStr">
        <is>
          <t>Chloé</t>
        </is>
      </c>
      <c r="C59" s="8" t="inlineStr">
        <is>
          <t>Client</t>
        </is>
      </c>
      <c r="D59" s="8" t="inlineStr">
        <is>
          <t>Enfant</t>
        </is>
      </c>
      <c r="E59" s="20" t="n">
        <v>43631</v>
      </c>
      <c r="F59" s="37" t="n">
        <v>60000</v>
      </c>
      <c r="G59" s="10">
        <f>IF(OR(E59="",C59&lt;&gt;Defunt),"Non",IF(E59&gt;=EDATE(DateSimu,-12*RappelDonations),"Oui","Non"))</f>
        <v/>
      </c>
      <c r="H59" s="39">
        <f>IF(G59="Oui",MIN(F59,IFERROR(INDEX(AbatMontant,MATCH(D59,AbatLien,0)),0)),0)</f>
        <v/>
      </c>
    </row>
    <row r="60">
      <c r="B60" s="23" t="inlineStr">
        <is>
          <t>Lucas</t>
        </is>
      </c>
      <c r="C60" s="8" t="inlineStr">
        <is>
          <t>Client</t>
        </is>
      </c>
      <c r="D60" s="8" t="inlineStr">
        <is>
          <t>Enfant</t>
        </is>
      </c>
      <c r="E60" s="20" t="n">
        <v>42379</v>
      </c>
      <c r="F60" s="37" t="n">
        <v>30000</v>
      </c>
      <c r="G60" s="10">
        <f>IF(OR(E60="",C60&lt;&gt;Defunt),"Non",IF(E60&gt;=EDATE(DateSimu,-12*RappelDonations),"Oui","Non"))</f>
        <v/>
      </c>
      <c r="H60" s="39">
        <f>IF(G60="Oui",MIN(F60,IFERROR(INDEX(AbatMontant,MATCH(D60,AbatLien,0)),0)),0)</f>
        <v/>
      </c>
    </row>
    <row r="61">
      <c r="B61" s="23" t="n"/>
      <c r="C61" s="8" t="n"/>
      <c r="D61" s="8" t="n"/>
      <c r="E61" s="20" t="n"/>
      <c r="F61" s="37" t="n"/>
      <c r="G61" s="10">
        <f>IF(OR(E61="",C61&lt;&gt;Defunt),"Non",IF(E61&gt;=EDATE(DateSimu,-12*RappelDonations),"Oui","Non"))</f>
        <v/>
      </c>
      <c r="H61" s="39">
        <f>IF(G61="Oui",MIN(F61,IFERROR(INDEX(AbatMontant,MATCH(D61,AbatLien,0)),0)),0)</f>
        <v/>
      </c>
    </row>
    <row r="62">
      <c r="B62" s="23" t="n"/>
      <c r="C62" s="8" t="n"/>
      <c r="D62" s="8" t="n"/>
      <c r="E62" s="20" t="n"/>
      <c r="F62" s="37" t="n"/>
      <c r="G62" s="10">
        <f>IF(OR(E62="",C62&lt;&gt;Defunt),"Non",IF(E62&gt;=EDATE(DateSimu,-12*RappelDonations),"Oui","Non"))</f>
        <v/>
      </c>
      <c r="H62" s="39">
        <f>IF(G62="Oui",MIN(F62,IFERROR(INDEX(AbatMontant,MATCH(D62,AbatLien,0)),0)),0)</f>
        <v/>
      </c>
    </row>
    <row r="63">
      <c r="B63" s="23" t="n"/>
      <c r="C63" s="8" t="n"/>
      <c r="D63" s="8" t="n"/>
      <c r="E63" s="20" t="n"/>
      <c r="F63" s="37" t="n"/>
      <c r="G63" s="10">
        <f>IF(OR(E63="",C63&lt;&gt;Defunt),"Non",IF(E63&gt;=EDATE(DateSimu,-12*RappelDonations),"Oui","Non"))</f>
        <v/>
      </c>
      <c r="H63" s="39">
        <f>IF(G63="Oui",MIN(F63,IFERROR(INDEX(AbatMontant,MATCH(D63,AbatLien,0)),0)),0)</f>
        <v/>
      </c>
    </row>
    <row r="64">
      <c r="B64" s="23" t="n"/>
      <c r="C64" s="8" t="n"/>
      <c r="D64" s="8" t="n"/>
      <c r="E64" s="20" t="n"/>
      <c r="F64" s="37" t="n"/>
      <c r="G64" s="10">
        <f>IF(OR(E64="",C64&lt;&gt;Defunt),"Non",IF(E64&gt;=EDATE(DateSimu,-12*RappelDonations),"Oui","Non"))</f>
        <v/>
      </c>
      <c r="H64" s="39">
        <f>IF(G64="Oui",MIN(F64,IFERROR(INDEX(AbatMontant,MATCH(D64,AbatLien,0)),0)),0)</f>
        <v/>
      </c>
    </row>
    <row r="65">
      <c r="B65" s="23" t="n"/>
      <c r="C65" s="8" t="n"/>
      <c r="D65" s="8" t="n"/>
      <c r="E65" s="20" t="n"/>
      <c r="F65" s="37" t="n"/>
      <c r="G65" s="10">
        <f>IF(OR(E65="",C65&lt;&gt;Defunt),"Non",IF(E65&gt;=EDATE(DateSimu,-12*RappelDonations),"Oui","Non"))</f>
        <v/>
      </c>
      <c r="H65" s="39">
        <f>IF(G65="Oui",MIN(F65,IFERROR(INDEX(AbatMontant,MATCH(D65,AbatLien,0)),0)),0)</f>
        <v/>
      </c>
    </row>
    <row r="66">
      <c r="B66" s="23" t="n"/>
      <c r="C66" s="8" t="n"/>
      <c r="D66" s="8" t="n"/>
      <c r="E66" s="20" t="n"/>
      <c r="F66" s="37" t="n"/>
      <c r="G66" s="10">
        <f>IF(OR(E66="",C66&lt;&gt;Defunt),"Non",IF(E66&gt;=EDATE(DateSimu,-12*RappelDonations),"Oui","Non"))</f>
        <v/>
      </c>
      <c r="H66" s="39">
        <f>IF(G66="Oui",MIN(F66,IFERROR(INDEX(AbatMontant,MATCH(D66,AbatLien,0)),0)),0)</f>
        <v/>
      </c>
    </row>
    <row r="67">
      <c r="B67" s="17" t="inlineStr">
        <is>
          <t>TOTAL des abattements déjà consommés</t>
        </is>
      </c>
      <c r="H67" s="41">
        <f>SUM(H59:H66)</f>
        <v/>
      </c>
    </row>
    <row r="68">
      <c r="B68" s="21" t="inlineStr">
        <is>
          <t>Seules les donations consenties PAR LE DÉFUNT SIMULÉ sont rappelées : la colonne « Donateur » assure la bascule automatique lorsque l'on change de défunt. Le modèle reprend la consommation de l'abattement (effet principal du rappel fiscal). La reconstitution du barème progressif sur les donations rappelées n'est PAS modélisée : en présence de donations importantes, les droits réels seront supérieurs à l'estimation.</t>
        </is>
      </c>
    </row>
    <row r="70" ht="20" customHeight="1">
      <c r="A70" s="4" t="inlineStr">
        <is>
          <t>6.  SYNTHÈSE DU PATRIMOINE DU FOYER</t>
        </is>
      </c>
      <c r="B70" s="5" t="n"/>
      <c r="C70" s="5" t="n"/>
      <c r="D70" s="5" t="n"/>
      <c r="E70" s="5" t="n"/>
      <c r="F70" s="5" t="n"/>
      <c r="G70" s="5" t="n"/>
      <c r="H70" s="5" t="n"/>
      <c r="I70" s="5" t="n"/>
      <c r="J70" s="5" t="n"/>
    </row>
    <row r="71">
      <c r="B71" s="9" t="inlineStr">
        <is>
          <t>Actif brut (valeur vénale des biens détenus)</t>
        </is>
      </c>
      <c r="D71" s="39">
        <f>SUMPRODUCT(D13:D30,F13:F30)</f>
        <v/>
      </c>
    </row>
    <row r="72">
      <c r="B72" s="9" t="inlineStr">
        <is>
          <t>Endettement total du foyer</t>
        </is>
      </c>
      <c r="D72" s="39">
        <f>DetteImmoFoyer+PassifDiversFoyer</f>
        <v/>
      </c>
    </row>
    <row r="73">
      <c r="B73" s="9" t="inlineStr">
        <is>
          <t>Patrimoine net hors assurance-vie</t>
        </is>
      </c>
      <c r="D73" s="39">
        <f>PatBrutFoyer-DetteFoyer</f>
        <v/>
      </c>
    </row>
    <row r="74">
      <c r="B74" s="9" t="inlineStr">
        <is>
          <t>Capitaux d'assurance-vie (valeur de rachat)</t>
        </is>
      </c>
      <c r="D74" s="39">
        <f>AV_ValeurRachat</f>
        <v/>
      </c>
    </row>
    <row r="75">
      <c r="B75" s="17" t="inlineStr">
        <is>
          <t>PATRIMOINE NET GLOBAL DU FOYER</t>
        </is>
      </c>
      <c r="D75" s="42">
        <f>PatNetHorsAV+PatAV</f>
        <v/>
      </c>
    </row>
  </sheetData>
  <dataValidations count="8">
    <dataValidation sqref="C5" showDropDown="0" showInputMessage="0" showErrorMessage="0" allowBlank="1" errorTitle="Valeur non autorisée" error="Choisissez une valeur dans la liste déroulante." type="list">
      <formula1>"Client,Conjoint"</formula1>
    </dataValidation>
    <dataValidation sqref="B13:B30" showDropDown="0" showInputMessage="0" showErrorMessage="0" allowBlank="1" errorTitle="Valeur non autorisée" error="Choisissez une valeur dans la liste déroulante." type="list">
      <formula1>"Résidence principale,Résidence secondaire,Immobilier locatif,Terrains / SCPI,Liquidités et livrets,Comptes-titres / PEA,Parts de société / entreprise,Biens meubles et divers,Créances et autres"</formula1>
    </dataValidation>
    <dataValidation sqref="E13:E30" showDropDown="0" showInputMessage="0" showErrorMessage="0" allowBlank="1" errorTitle="Valeur non autorisée" error="Choisissez une valeur dans la liste déroulante." type="list">
      <formula1>"Propre - Client,Propre - Conjoint,Commun (communauté),Indivision - Client,Indivision - Conjoint"</formula1>
    </dataValidation>
    <dataValidation sqref="E36:E41" showDropDown="0" showInputMessage="0" showErrorMessage="0" allowBlank="1" errorTitle="Valeur non autorisée" error="Choisissez une valeur dans la liste déroulante." type="list">
      <formula1>"Client,Conjoint,Commun"</formula1>
    </dataValidation>
    <dataValidation sqref="C45" showDropDown="0" showInputMessage="0" showErrorMessage="0" allowBlank="1" errorTitle="Valeur non autorisée" error="Choisissez une valeur dans la liste déroulante." type="list">
      <formula1>"Oui,Non"</formula1>
    </dataValidation>
    <dataValidation sqref="C46" showDropDown="0" showInputMessage="0" showErrorMessage="0" allowBlank="1" errorTitle="Valeur non autorisée" error="Choisissez une valeur dans la liste déroulante." type="list">
      <formula1>"Oui,Non"</formula1>
    </dataValidation>
    <dataValidation sqref="C59:C66" showDropDown="0" showInputMessage="0" showErrorMessage="0" allowBlank="1" errorTitle="Valeur non autorisée" error="Choisissez une valeur dans la liste déroulante." type="list">
      <formula1>"Client,Conjoint"</formula1>
    </dataValidation>
    <dataValidation sqref="D59:D66" showDropDown="0" showInputMessage="0" showErrorMessage="0" allowBlank="1" errorTitle="Valeur non autorisée" error="Choisissez une valeur dans la liste déroulante." type="list">
      <formula1>AbatLien</formula1>
    </dataValidation>
  </dataValidations>
  <printOptions horizontalCentered="1"/>
  <pageMargins left="0.75" right="0.75" top="1" bottom="1" header="0.5" footer="0.5"/>
  <pageSetup orientation="landscape" fitToHeight="0" fitToWidth="1"/>
</worksheet>
</file>

<file path=xl/worksheets/sheet4.xml><?xml version="1.0" encoding="utf-8"?>
<worksheet xmlns="http://schemas.openxmlformats.org/spreadsheetml/2006/main">
  <sheetPr>
    <tabColor rgb="00C55A11"/>
    <outlinePr summaryBelow="1" summaryRight="1"/>
    <pageSetUpPr fitToPage="1"/>
  </sheetPr>
  <dimension ref="A1:N72"/>
  <sheetViews>
    <sheetView showGridLines="0"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13" customWidth="1" min="4" max="4"/>
    <col width="13" customWidth="1" min="5" max="5"/>
    <col width="13" customWidth="1" min="6" max="6"/>
    <col width="13" customWidth="1" min="7" max="7"/>
    <col width="17" customWidth="1" min="8" max="8"/>
    <col width="17" customWidth="1" min="9" max="9"/>
    <col width="17" customWidth="1" min="10" max="10"/>
    <col width="19" customWidth="1" min="11" max="11"/>
    <col width="12" customWidth="1" min="12" max="12"/>
    <col width="4" customWidth="1" min="13" max="13"/>
    <col width="60" customWidth="1" min="14" max="14"/>
  </cols>
  <sheetData>
    <row r="1" ht="30" customHeight="1">
      <c r="A1" s="1" t="inlineStr">
        <is>
          <t>DÉVOLUTION SUCCESSORALE — QUI HÉRITE, ET DE COMBIEN ?</t>
        </is>
      </c>
      <c r="B1" s="2" t="n"/>
      <c r="C1" s="2" t="n"/>
      <c r="D1" s="2" t="n"/>
      <c r="E1" s="2" t="n"/>
      <c r="F1" s="2" t="n"/>
      <c r="G1" s="2" t="n"/>
      <c r="H1" s="2" t="n"/>
      <c r="I1" s="2" t="n"/>
      <c r="J1" s="2" t="n"/>
      <c r="K1" s="2" t="n"/>
      <c r="L1" s="2" t="n"/>
    </row>
    <row r="2" ht="14" customHeight="1">
      <c r="A2" s="3" t="inlineStr">
        <is>
          <t>Application des règles de dévolution légale du Code civil à la situation familiale saisie sur la feuille « Client » et à la masse calculée sur la feuille « Patrimoine ».</t>
        </is>
      </c>
    </row>
    <row r="4" ht="20" customHeight="1">
      <c r="A4" s="4" t="inlineStr">
        <is>
          <t>1.  SITUATION SUCCESSORALE (reprise automatique)</t>
        </is>
      </c>
      <c r="B4" s="5" t="n"/>
      <c r="C4" s="5" t="n"/>
      <c r="D4" s="5" t="n"/>
      <c r="E4" s="5" t="n"/>
      <c r="F4" s="5" t="n"/>
      <c r="G4" s="5" t="n"/>
      <c r="H4" s="5" t="n"/>
      <c r="I4" s="5" t="n"/>
      <c r="J4" s="5" t="n"/>
      <c r="K4" s="5" t="n"/>
      <c r="L4" s="5" t="n"/>
    </row>
    <row r="5">
      <c r="B5" s="9" t="inlineStr">
        <is>
          <t>Défunt simulé</t>
        </is>
      </c>
      <c r="C5" s="44">
        <f>NomDefunt</f>
        <v/>
      </c>
    </row>
    <row r="6">
      <c r="B6" s="9" t="inlineStr">
        <is>
          <t>Conjoint survivant</t>
        </is>
      </c>
      <c r="C6" s="44">
        <f>NomSurvivant</f>
        <v/>
      </c>
    </row>
    <row r="7">
      <c r="B7" s="9" t="inlineStr">
        <is>
          <t>Masse civile à partager (actif net successoral)</t>
        </is>
      </c>
      <c r="C7" s="45">
        <f>MasseCivile</f>
        <v/>
      </c>
    </row>
    <row r="8">
      <c r="B8" s="9" t="inlineStr">
        <is>
          <t>Le conjoint est-il héritier légal ?</t>
        </is>
      </c>
      <c r="C8" s="44">
        <f>IF(SitMat="Marié(e)","Oui","Non — seul le mariage confère la qualité d'héritier")</f>
        <v/>
      </c>
    </row>
    <row r="9">
      <c r="B9" s="9" t="inlineStr">
        <is>
          <t>Nombre d'enfants héritiers du défunt</t>
        </is>
      </c>
      <c r="C9" s="46">
        <f>IF(Defunt="Client",NbEnfClient,NbEnfConjoint)</f>
        <v/>
      </c>
    </row>
    <row r="10">
      <c r="B10" s="9" t="inlineStr">
        <is>
          <t xml:space="preserve">  dont enfants NON communs au couple</t>
        </is>
      </c>
      <c r="C10" s="46">
        <f>IF(Defunt="Client",NbEnfPropClient,NbEnfPropConjoint)</f>
        <v/>
      </c>
    </row>
    <row r="11">
      <c r="B11" s="9" t="inlineStr">
        <is>
          <t>Ascendants privilégiés survivants (père / mère)</t>
        </is>
      </c>
      <c r="C11" s="46">
        <f>IF(Defunt="Client",NbParentsClient,NbParentsConjoint)</f>
        <v/>
      </c>
    </row>
    <row r="12">
      <c r="B12" s="9" t="inlineStr">
        <is>
          <t>Frères et sœurs vivants</t>
        </is>
      </c>
      <c r="C12" s="46">
        <f>IF(Defunt="Client",NbFreresClient,NbFreresConjoint)</f>
        <v/>
      </c>
    </row>
    <row r="13">
      <c r="B13" s="9" t="inlineStr">
        <is>
          <t>Donation au dernier vivant en place</t>
        </is>
      </c>
      <c r="C13" s="44">
        <f>DDV</f>
        <v/>
      </c>
    </row>
    <row r="14">
      <c r="B14" s="24" t="inlineStr">
        <is>
          <t>Conjoint survivant retenu dans la dévolution (1 = oui)</t>
        </is>
      </c>
      <c r="C14" s="25">
        <f>IF(SitMat="Marié(e)",1,0)</f>
        <v/>
      </c>
    </row>
    <row r="15">
      <c r="B15" s="17" t="inlineStr">
        <is>
          <t>Cas de dévolution applicable</t>
        </is>
      </c>
      <c r="C15" s="17">
        <f>IF(NbEnfDefunt&gt;0,IF(ConjEffectif=1,"Descendants + conjoint survivant — art. 757 C. civ.","Descendants seuls — art. 734 et 735 C. civ."),IF(ConjEffectif=1,IF(NbParentsDefunt&gt;0,"Conjoint + ascendants privilégiés — art. 757-1 C. civ.","Conjoint seul — art. 757-2 C. civ."),IF(OR(NbParentsDefunt&gt;0,NbFreresDefunt&gt;0),"Ascendants et/ou collatéraux privilégiés — art. 738 C. civ.","Ordres subséquents (ascendants ou collatéraux ordinaires) ou déshérence")))</f>
        <v/>
      </c>
    </row>
    <row r="16">
      <c r="B16" s="21" t="inlineStr">
        <is>
          <t>Art. 757-3 C. civ. : en l'absence de descendant et d'ascendant, les frères et sœurs reprennent la moitié des biens que le défunt avait reçus de ses parents par succession ou donation (droit de retour) — cas particulier non automatisé ici.</t>
        </is>
      </c>
    </row>
    <row r="18" ht="20" customHeight="1">
      <c r="A18" s="4" t="inlineStr">
        <is>
          <t>2.  OPTION DU CONJOINT SURVIVANT</t>
        </is>
      </c>
      <c r="B18" s="5" t="n"/>
      <c r="C18" s="5" t="n"/>
      <c r="D18" s="5" t="n"/>
      <c r="E18" s="5" t="n"/>
      <c r="F18" s="5" t="n"/>
      <c r="G18" s="5" t="n"/>
      <c r="H18" s="5" t="n"/>
      <c r="I18" s="5" t="n"/>
      <c r="J18" s="5" t="n"/>
      <c r="K18" s="5" t="n"/>
      <c r="L18" s="5" t="n"/>
    </row>
    <row r="19">
      <c r="B19" s="17" t="inlineStr">
        <is>
          <t>Option retenue par le conjoint</t>
        </is>
      </c>
      <c r="C19" s="47" t="inlineStr">
        <is>
          <t>1/4 en pleine propriété (option légale)</t>
        </is>
      </c>
    </row>
    <row r="20">
      <c r="B20" s="24" t="inlineStr">
        <is>
          <t>Conjoint effectivement héritier (1 = oui)</t>
        </is>
      </c>
      <c r="C20" s="25">
        <f>IF(OR(ConjHeritier=0,OptionConjoint="Aucune (conjoint renonçant ou non héritier)"),0,1)</f>
        <v/>
      </c>
    </row>
    <row r="21" ht="30" customHeight="1">
      <c r="B21" s="9" t="inlineStr">
        <is>
          <t>Contrôle de cohérence</t>
        </is>
      </c>
      <c r="C21" s="13">
        <f>IF(ConjHeritier=0,"Aucun conjoint survivant héritier : l'option est sans objet.",IF(AND(NbEnfNonCommuns&gt;0,DDV="Non",OptionConjoint&lt;&gt;"1/4 en pleine propriété (option légale)",OptionConjoint&lt;&gt;"Aucune (conjoint renonçant ou non héritier)"),"⚠️ En présence d'un enfant non commun et SANS donation au dernier vivant, le conjoint ne peut opter que pour le 1/4 en pleine propriété (art. 757 C. civ.).",IF(AND(LEFT(OptionConjoint,3)="DDV",DDV="Non"),"⚠️ Option issue d'une donation au dernier vivant alors qu'aucune DDV n'est déclarée sur la feuille Client.","✅ Option cohérente avec la situation familiale déclarée.")))</f>
        <v/>
      </c>
    </row>
    <row r="23">
      <c r="B23" s="9" t="inlineStr">
        <is>
          <t>Réserve héréditaire globale (art. 913 C. civ.)</t>
        </is>
      </c>
      <c r="C23" s="33">
        <f>1-QD</f>
        <v/>
      </c>
      <c r="D23" s="48">
        <f>Reserve*MasseCivile</f>
        <v/>
      </c>
    </row>
    <row r="24">
      <c r="B24" s="9" t="inlineStr">
        <is>
          <t>Quotité disponible ordinaire</t>
        </is>
      </c>
      <c r="C24" s="33">
        <f>IF(NbEnfDefunt=1,1/2,IF(NbEnfDefunt=2,1/3,IF(NbEnfDefunt&gt;=3,1/4,IF(ConjHeritier=1,3/4,1))))</f>
        <v/>
      </c>
      <c r="D24" s="48">
        <f>QD*MasseCivile</f>
        <v/>
      </c>
      <c r="N24" s="22" t="inlineStr">
        <is>
          <t>ℹ️ 1 enfant : 1/2 — 2 enfants : 1/3 — 3 enfants et plus : 1/4. Sans descendant mais avec conjoint : réserve du conjoint de 1/4 (art. 914-1 C. civ.).</t>
        </is>
      </c>
    </row>
    <row r="26" ht="20" customHeight="1">
      <c r="A26" s="4" t="inlineStr">
        <is>
          <t>3.  QUOTITÉS THÉORIQUES CALCULÉES</t>
        </is>
      </c>
      <c r="B26" s="5" t="n"/>
      <c r="C26" s="5" t="n"/>
      <c r="D26" s="5" t="n"/>
      <c r="E26" s="5" t="n"/>
      <c r="F26" s="5" t="n"/>
      <c r="G26" s="5" t="n"/>
      <c r="H26" s="5" t="n"/>
      <c r="I26" s="5" t="n"/>
      <c r="J26" s="5" t="n"/>
      <c r="K26" s="5" t="n"/>
      <c r="L26" s="5" t="n"/>
    </row>
    <row r="27">
      <c r="B27" s="9" t="inlineStr">
        <is>
          <t>Conjoint — pleine propriété</t>
        </is>
      </c>
      <c r="C27" s="33">
        <f>IF(ConjEffectif=0,0,IF(NbEnfDefunt&gt;0,IF(OptionConjoint="100 % en usufruit (option légale)",0,IF(OptionConjoint="DDV - 1/4 en PP + 3/4 en usufruit",0.25,IF(OptionConjoint="DDV - Quotité disponible en pleine propriété",QD,0.25))),IF(NbParentsDefunt=2,0.5,IF(NbParentsDefunt=1,0.75,1))))</f>
        <v/>
      </c>
    </row>
    <row r="28">
      <c r="B28" s="9" t="inlineStr">
        <is>
          <t>Conjoint — usufruit</t>
        </is>
      </c>
      <c r="C28" s="33">
        <f>IF(ConjEffectif=0,0,IF(NbEnfDefunt&gt;0,IF(OptionConjoint="100 % en usufruit (option légale)",1,IF(OptionConjoint="DDV - 1/4 en PP + 3/4 en usufruit",0.75,0)),0))</f>
        <v/>
      </c>
    </row>
    <row r="29">
      <c r="B29" s="9" t="inlineStr">
        <is>
          <t>Enfants — pleine propriété (globalement)</t>
        </is>
      </c>
      <c r="C29" s="33">
        <f>IF(NbEnfDefunt=0,0,MAX(0,1-Q_ConjPP-Q_ConjUS))</f>
        <v/>
      </c>
    </row>
    <row r="30">
      <c r="B30" s="9" t="inlineStr">
        <is>
          <t>Enfants — nue-propriété (globalement)</t>
        </is>
      </c>
      <c r="C30" s="33">
        <f>IF(NbEnfDefunt=0,0,Q_ConjUS)</f>
        <v/>
      </c>
    </row>
    <row r="31">
      <c r="B31" s="9" t="inlineStr">
        <is>
          <t>Ascendants privilégiés (globalement)</t>
        </is>
      </c>
      <c r="C31" s="33">
        <f>IF(NbEnfDefunt&gt;0,0,IF(ConjEffectif=1,MAX(0,1-Q_ConjPP),IF(NbFreresDefunt&gt;0,NbParentsDefunt*0.25,IF(NbParentsDefunt&gt;0,1,0))))</f>
        <v/>
      </c>
    </row>
    <row r="32">
      <c r="B32" s="9" t="inlineStr">
        <is>
          <t>Frères et sœurs (globalement)</t>
        </is>
      </c>
      <c r="C32" s="33">
        <f>IF(OR(NbEnfDefunt&gt;0,ConjEffectif=1,NbFreresDefunt=0),0,MAX(0,1-NbParentsDefunt*0.25))</f>
        <v/>
      </c>
    </row>
    <row r="33">
      <c r="B33" s="9" t="inlineStr">
        <is>
          <t>Autres héritiers / État</t>
        </is>
      </c>
      <c r="C33" s="33">
        <f>MAX(0,1-Q_ConjPP-Q_ConjUS-Q_EnfPP-Q_Parents-Q_Freres)</f>
        <v/>
      </c>
    </row>
    <row r="34">
      <c r="B34" s="17" t="inlineStr">
        <is>
          <t>CONTRÔLE — total des quotités (doit valoir 100 %)</t>
        </is>
      </c>
      <c r="C34" s="49">
        <f>Q_ConjPP+Q_ConjUS+Q_EnfPP+Q_Parents+Q_Freres+Q_Autres</f>
        <v/>
      </c>
    </row>
    <row r="35">
      <c r="B35" s="50">
        <f>IF(NbFreresDefunt&gt;4,"⚠️ Plus de 4 frères et sœurs déclarés : le tableau ci-dessous n'en affiche que 4. Ajoutez des lignes et étendez les plages nommées.","")</f>
        <v/>
      </c>
    </row>
    <row r="37" ht="20" customHeight="1">
      <c r="A37" s="4" t="inlineStr">
        <is>
          <t>4.  LEGS PARTICULIERS (testament) — prélevés en priorité sur la quotité disponible</t>
        </is>
      </c>
      <c r="B37" s="5" t="n"/>
      <c r="C37" s="5" t="n"/>
      <c r="D37" s="5" t="n"/>
      <c r="E37" s="5" t="n"/>
      <c r="F37" s="5" t="n"/>
      <c r="G37" s="5" t="n"/>
      <c r="H37" s="5" t="n"/>
      <c r="I37" s="5" t="n"/>
      <c r="J37" s="5" t="n"/>
      <c r="K37" s="5" t="n"/>
      <c r="L37" s="5" t="n"/>
    </row>
    <row r="38" ht="28" customHeight="1">
      <c r="B38" s="14" t="inlineStr">
        <is>
          <t>Bénéficiaire du legs</t>
        </is>
      </c>
      <c r="C38" s="14" t="inlineStr">
        <is>
          <t>Lien de parenté avec le défunt</t>
        </is>
      </c>
      <c r="D38" s="14" t="inlineStr">
        <is>
          <t>Montant du legs (€)</t>
        </is>
      </c>
      <c r="E38" s="14" t="inlineStr"/>
      <c r="F38" s="14" t="inlineStr"/>
      <c r="G38" s="14" t="inlineStr"/>
      <c r="H38" s="14" t="inlineStr"/>
      <c r="I38" s="14" t="inlineStr"/>
      <c r="J38" s="14" t="inlineStr"/>
      <c r="K38" s="14" t="inlineStr"/>
    </row>
    <row r="39">
      <c r="B39" s="23" t="n"/>
      <c r="C39" s="8" t="n"/>
      <c r="D39" s="37" t="n"/>
    </row>
    <row r="40">
      <c r="B40" s="23" t="n"/>
      <c r="C40" s="8" t="n"/>
      <c r="D40" s="37" t="n"/>
    </row>
    <row r="41">
      <c r="B41" s="23" t="n"/>
      <c r="C41" s="8" t="n"/>
      <c r="D41" s="37" t="n"/>
    </row>
    <row r="42">
      <c r="B42" s="23" t="n"/>
      <c r="C42" s="8" t="n"/>
      <c r="D42" s="37" t="n"/>
    </row>
    <row r="43">
      <c r="B43" s="17" t="inlineStr">
        <is>
          <t>TOTAL DES LEGS</t>
        </is>
      </c>
      <c r="D43" s="41">
        <f>SUM(D39:D42)</f>
        <v/>
      </c>
    </row>
    <row r="44" ht="28" customHeight="1">
      <c r="B44" s="9" t="inlineStr">
        <is>
          <t>Contrôle de la réserve héréditaire</t>
        </is>
      </c>
      <c r="C44" s="13">
        <f>IF(TotalLegs=0,"Aucun legs saisi.",IF(TotalLegs&lt;=QD*MasseCivile,"✅ Les legs restent dans la quotité disponible.","⚠️ Les legs excèdent la quotité disponible : ils seront réductibles à la demande des héritiers réservataires (art. 920 C. civ.)."))</f>
        <v/>
      </c>
    </row>
    <row r="45">
      <c r="B45" s="17" t="inlineStr">
        <is>
          <t>MASSE RESTANT À PARTAGER ENTRE LES HÉRITIERS LÉGAUX</t>
        </is>
      </c>
      <c r="D45" s="42">
        <f>MAX(0,MasseCivile-TotalLegs)</f>
        <v/>
      </c>
    </row>
    <row r="47" ht="20" customHeight="1">
      <c r="A47" s="4" t="inlineStr">
        <is>
          <t>5.  TABLEAU DE DÉVOLUTION</t>
        </is>
      </c>
      <c r="B47" s="5" t="n"/>
      <c r="C47" s="5" t="n"/>
      <c r="D47" s="5" t="n"/>
      <c r="E47" s="5" t="n"/>
      <c r="F47" s="5" t="n"/>
      <c r="G47" s="5" t="n"/>
      <c r="H47" s="5" t="n"/>
      <c r="I47" s="5" t="n"/>
      <c r="J47" s="5" t="n"/>
      <c r="K47" s="5" t="n"/>
      <c r="L47" s="5" t="n"/>
    </row>
    <row r="48" ht="28" customHeight="1">
      <c r="B48" s="14" t="inlineStr">
        <is>
          <t>Héritier</t>
        </is>
      </c>
      <c r="C48" s="14" t="inlineStr">
        <is>
          <t>Lien de parenté</t>
        </is>
      </c>
      <c r="D48" s="14" t="inlineStr">
        <is>
          <t>Héritier ?</t>
        </is>
      </c>
      <c r="E48" s="14" t="inlineStr">
        <is>
          <t>Quote-part en PP</t>
        </is>
      </c>
      <c r="F48" s="14" t="inlineStr">
        <is>
          <t>Quote-part en US</t>
        </is>
      </c>
      <c r="G48" s="14" t="inlineStr">
        <is>
          <t>Quote-part en NP</t>
        </is>
      </c>
      <c r="H48" s="14" t="inlineStr">
        <is>
          <t>Valeur en pleine propriété (€)</t>
        </is>
      </c>
      <c r="I48" s="14" t="inlineStr">
        <is>
          <t>Valeur de l'usufruit (€)</t>
        </is>
      </c>
      <c r="J48" s="14" t="inlineStr">
        <is>
          <t>Valeur de la nue-propriété (€)</t>
        </is>
      </c>
      <c r="K48" s="14" t="inlineStr">
        <is>
          <t>VALEUR FISCALE REÇUE (€)</t>
        </is>
      </c>
      <c r="L48" s="14" t="inlineStr">
        <is>
          <t>Handicap</t>
        </is>
      </c>
    </row>
    <row r="49">
      <c r="B49" s="51">
        <f>NomSurvivant</f>
        <v/>
      </c>
      <c r="C49" s="51">
        <f>"Conjoint survivant"</f>
        <v/>
      </c>
      <c r="D49" s="27">
        <f>ConjEffectif</f>
        <v/>
      </c>
      <c r="E49" s="52">
        <f>Q_ConjPP*D49</f>
        <v/>
      </c>
      <c r="F49" s="52">
        <f>Q_ConjUS*D49</f>
        <v/>
      </c>
      <c r="G49" s="52" t="inlineStr">
        <is>
          <t>0</t>
        </is>
      </c>
      <c r="H49" s="39">
        <f>MasseDevolution*E49</f>
        <v/>
      </c>
      <c r="I49" s="39">
        <f>MasseDevolution*F49*TauxUsufruit</f>
        <v/>
      </c>
      <c r="J49" s="39">
        <f>MasseDevolution*G49*(1-TauxUsufruit)</f>
        <v/>
      </c>
      <c r="K49" s="41">
        <f>H49+I49+J49</f>
        <v/>
      </c>
      <c r="L49" s="10">
        <f>"Non"</f>
        <v/>
      </c>
    </row>
    <row r="50">
      <c r="B50" s="51">
        <f>IF(INDEX(EnfPrenom,1)="","",INDEX(EnfPrenom,1))</f>
        <v/>
      </c>
      <c r="C50" s="51">
        <f>IF(D50=1,"Enfant","")</f>
        <v/>
      </c>
      <c r="D50" s="27">
        <f>IF(AND(INDEX(EnfVivant,1)="Oui",OR(INDEX(EnfFiliation,1)="Commun au couple",INDEX(EnfFiliation,1)=IF(Defunt="Client","Du client uniquement","Du conjoint uniquement"))),1,0)</f>
        <v/>
      </c>
      <c r="E50" s="52">
        <f>IF(NbEnfDefunt=0,0,Q_EnfPP/NbEnfDefunt)*D50</f>
        <v/>
      </c>
      <c r="F50" s="52" t="inlineStr">
        <is>
          <t>0</t>
        </is>
      </c>
      <c r="G50" s="52">
        <f>IF(NbEnfDefunt=0,0,Q_EnfNP/NbEnfDefunt)*D50</f>
        <v/>
      </c>
      <c r="H50" s="39">
        <f>MasseDevolution*E50</f>
        <v/>
      </c>
      <c r="I50" s="39">
        <f>MasseDevolution*F50*TauxUsufruit</f>
        <v/>
      </c>
      <c r="J50" s="39">
        <f>MasseDevolution*G50*(1-TauxUsufruit)</f>
        <v/>
      </c>
      <c r="K50" s="41">
        <f>H50+I50+J50</f>
        <v/>
      </c>
      <c r="L50" s="10">
        <f>IF(INDEX(EnfHandicap,1)="Oui","Oui","Non")</f>
        <v/>
      </c>
    </row>
    <row r="51">
      <c r="B51" s="51">
        <f>IF(INDEX(EnfPrenom,2)="","",INDEX(EnfPrenom,2))</f>
        <v/>
      </c>
      <c r="C51" s="51">
        <f>IF(D51=1,"Enfant","")</f>
        <v/>
      </c>
      <c r="D51" s="27">
        <f>IF(AND(INDEX(EnfVivant,2)="Oui",OR(INDEX(EnfFiliation,2)="Commun au couple",INDEX(EnfFiliation,2)=IF(Defunt="Client","Du client uniquement","Du conjoint uniquement"))),1,0)</f>
        <v/>
      </c>
      <c r="E51" s="52">
        <f>IF(NbEnfDefunt=0,0,Q_EnfPP/NbEnfDefunt)*D51</f>
        <v/>
      </c>
      <c r="F51" s="52" t="inlineStr">
        <is>
          <t>0</t>
        </is>
      </c>
      <c r="G51" s="52">
        <f>IF(NbEnfDefunt=0,0,Q_EnfNP/NbEnfDefunt)*D51</f>
        <v/>
      </c>
      <c r="H51" s="39">
        <f>MasseDevolution*E51</f>
        <v/>
      </c>
      <c r="I51" s="39">
        <f>MasseDevolution*F51*TauxUsufruit</f>
        <v/>
      </c>
      <c r="J51" s="39">
        <f>MasseDevolution*G51*(1-TauxUsufruit)</f>
        <v/>
      </c>
      <c r="K51" s="41">
        <f>H51+I51+J51</f>
        <v/>
      </c>
      <c r="L51" s="10">
        <f>IF(INDEX(EnfHandicap,2)="Oui","Oui","Non")</f>
        <v/>
      </c>
    </row>
    <row r="52">
      <c r="B52" s="51">
        <f>IF(INDEX(EnfPrenom,3)="","",INDEX(EnfPrenom,3))</f>
        <v/>
      </c>
      <c r="C52" s="51">
        <f>IF(D52=1,"Enfant","")</f>
        <v/>
      </c>
      <c r="D52" s="27">
        <f>IF(AND(INDEX(EnfVivant,3)="Oui",OR(INDEX(EnfFiliation,3)="Commun au couple",INDEX(EnfFiliation,3)=IF(Defunt="Client","Du client uniquement","Du conjoint uniquement"))),1,0)</f>
        <v/>
      </c>
      <c r="E52" s="52">
        <f>IF(NbEnfDefunt=0,0,Q_EnfPP/NbEnfDefunt)*D52</f>
        <v/>
      </c>
      <c r="F52" s="52" t="inlineStr">
        <is>
          <t>0</t>
        </is>
      </c>
      <c r="G52" s="52">
        <f>IF(NbEnfDefunt=0,0,Q_EnfNP/NbEnfDefunt)*D52</f>
        <v/>
      </c>
      <c r="H52" s="39">
        <f>MasseDevolution*E52</f>
        <v/>
      </c>
      <c r="I52" s="39">
        <f>MasseDevolution*F52*TauxUsufruit</f>
        <v/>
      </c>
      <c r="J52" s="39">
        <f>MasseDevolution*G52*(1-TauxUsufruit)</f>
        <v/>
      </c>
      <c r="K52" s="41">
        <f>H52+I52+J52</f>
        <v/>
      </c>
      <c r="L52" s="10">
        <f>IF(INDEX(EnfHandicap,3)="Oui","Oui","Non")</f>
        <v/>
      </c>
    </row>
    <row r="53">
      <c r="B53" s="51">
        <f>IF(INDEX(EnfPrenom,4)="","",INDEX(EnfPrenom,4))</f>
        <v/>
      </c>
      <c r="C53" s="51">
        <f>IF(D53=1,"Enfant","")</f>
        <v/>
      </c>
      <c r="D53" s="27">
        <f>IF(AND(INDEX(EnfVivant,4)="Oui",OR(INDEX(EnfFiliation,4)="Commun au couple",INDEX(EnfFiliation,4)=IF(Defunt="Client","Du client uniquement","Du conjoint uniquement"))),1,0)</f>
        <v/>
      </c>
      <c r="E53" s="52">
        <f>IF(NbEnfDefunt=0,0,Q_EnfPP/NbEnfDefunt)*D53</f>
        <v/>
      </c>
      <c r="F53" s="52" t="inlineStr">
        <is>
          <t>0</t>
        </is>
      </c>
      <c r="G53" s="52">
        <f>IF(NbEnfDefunt=0,0,Q_EnfNP/NbEnfDefunt)*D53</f>
        <v/>
      </c>
      <c r="H53" s="39">
        <f>MasseDevolution*E53</f>
        <v/>
      </c>
      <c r="I53" s="39">
        <f>MasseDevolution*F53*TauxUsufruit</f>
        <v/>
      </c>
      <c r="J53" s="39">
        <f>MasseDevolution*G53*(1-TauxUsufruit)</f>
        <v/>
      </c>
      <c r="K53" s="41">
        <f>H53+I53+J53</f>
        <v/>
      </c>
      <c r="L53" s="10">
        <f>IF(INDEX(EnfHandicap,4)="Oui","Oui","Non")</f>
        <v/>
      </c>
    </row>
    <row r="54">
      <c r="B54" s="51">
        <f>IF(INDEX(EnfPrenom,5)="","",INDEX(EnfPrenom,5))</f>
        <v/>
      </c>
      <c r="C54" s="51">
        <f>IF(D54=1,"Enfant","")</f>
        <v/>
      </c>
      <c r="D54" s="27">
        <f>IF(AND(INDEX(EnfVivant,5)="Oui",OR(INDEX(EnfFiliation,5)="Commun au couple",INDEX(EnfFiliation,5)=IF(Defunt="Client","Du client uniquement","Du conjoint uniquement"))),1,0)</f>
        <v/>
      </c>
      <c r="E54" s="52">
        <f>IF(NbEnfDefunt=0,0,Q_EnfPP/NbEnfDefunt)*D54</f>
        <v/>
      </c>
      <c r="F54" s="52" t="inlineStr">
        <is>
          <t>0</t>
        </is>
      </c>
      <c r="G54" s="52">
        <f>IF(NbEnfDefunt=0,0,Q_EnfNP/NbEnfDefunt)*D54</f>
        <v/>
      </c>
      <c r="H54" s="39">
        <f>MasseDevolution*E54</f>
        <v/>
      </c>
      <c r="I54" s="39">
        <f>MasseDevolution*F54*TauxUsufruit</f>
        <v/>
      </c>
      <c r="J54" s="39">
        <f>MasseDevolution*G54*(1-TauxUsufruit)</f>
        <v/>
      </c>
      <c r="K54" s="41">
        <f>H54+I54+J54</f>
        <v/>
      </c>
      <c r="L54" s="10">
        <f>IF(INDEX(EnfHandicap,5)="Oui","Oui","Non")</f>
        <v/>
      </c>
    </row>
    <row r="55">
      <c r="B55" s="51">
        <f>IF(INDEX(EnfPrenom,6)="","",INDEX(EnfPrenom,6))</f>
        <v/>
      </c>
      <c r="C55" s="51">
        <f>IF(D55=1,"Enfant","")</f>
        <v/>
      </c>
      <c r="D55" s="27">
        <f>IF(AND(INDEX(EnfVivant,6)="Oui",OR(INDEX(EnfFiliation,6)="Commun au couple",INDEX(EnfFiliation,6)=IF(Defunt="Client","Du client uniquement","Du conjoint uniquement"))),1,0)</f>
        <v/>
      </c>
      <c r="E55" s="52">
        <f>IF(NbEnfDefunt=0,0,Q_EnfPP/NbEnfDefunt)*D55</f>
        <v/>
      </c>
      <c r="F55" s="52" t="inlineStr">
        <is>
          <t>0</t>
        </is>
      </c>
      <c r="G55" s="52">
        <f>IF(NbEnfDefunt=0,0,Q_EnfNP/NbEnfDefunt)*D55</f>
        <v/>
      </c>
      <c r="H55" s="39">
        <f>MasseDevolution*E55</f>
        <v/>
      </c>
      <c r="I55" s="39">
        <f>MasseDevolution*F55*TauxUsufruit</f>
        <v/>
      </c>
      <c r="J55" s="39">
        <f>MasseDevolution*G55*(1-TauxUsufruit)</f>
        <v/>
      </c>
      <c r="K55" s="41">
        <f>H55+I55+J55</f>
        <v/>
      </c>
      <c r="L55" s="10">
        <f>IF(INDEX(EnfHandicap,6)="Oui","Oui","Non")</f>
        <v/>
      </c>
    </row>
    <row r="56">
      <c r="B56" s="51">
        <f>IF(INDEX(EnfPrenom,7)="","",INDEX(EnfPrenom,7))</f>
        <v/>
      </c>
      <c r="C56" s="51">
        <f>IF(D56=1,"Enfant","")</f>
        <v/>
      </c>
      <c r="D56" s="27">
        <f>IF(AND(INDEX(EnfVivant,7)="Oui",OR(INDEX(EnfFiliation,7)="Commun au couple",INDEX(EnfFiliation,7)=IF(Defunt="Client","Du client uniquement","Du conjoint uniquement"))),1,0)</f>
        <v/>
      </c>
      <c r="E56" s="52">
        <f>IF(NbEnfDefunt=0,0,Q_EnfPP/NbEnfDefunt)*D56</f>
        <v/>
      </c>
      <c r="F56" s="52" t="inlineStr">
        <is>
          <t>0</t>
        </is>
      </c>
      <c r="G56" s="52">
        <f>IF(NbEnfDefunt=0,0,Q_EnfNP/NbEnfDefunt)*D56</f>
        <v/>
      </c>
      <c r="H56" s="39">
        <f>MasseDevolution*E56</f>
        <v/>
      </c>
      <c r="I56" s="39">
        <f>MasseDevolution*F56*TauxUsufruit</f>
        <v/>
      </c>
      <c r="J56" s="39">
        <f>MasseDevolution*G56*(1-TauxUsufruit)</f>
        <v/>
      </c>
      <c r="K56" s="41">
        <f>H56+I56+J56</f>
        <v/>
      </c>
      <c r="L56" s="10">
        <f>IF(INDEX(EnfHandicap,7)="Oui","Oui","Non")</f>
        <v/>
      </c>
    </row>
    <row r="57">
      <c r="B57" s="51">
        <f>IF(INDEX(EnfPrenom,8)="","",INDEX(EnfPrenom,8))</f>
        <v/>
      </c>
      <c r="C57" s="51">
        <f>IF(D57=1,"Enfant","")</f>
        <v/>
      </c>
      <c r="D57" s="27">
        <f>IF(AND(INDEX(EnfVivant,8)="Oui",OR(INDEX(EnfFiliation,8)="Commun au couple",INDEX(EnfFiliation,8)=IF(Defunt="Client","Du client uniquement","Du conjoint uniquement"))),1,0)</f>
        <v/>
      </c>
      <c r="E57" s="52">
        <f>IF(NbEnfDefunt=0,0,Q_EnfPP/NbEnfDefunt)*D57</f>
        <v/>
      </c>
      <c r="F57" s="52" t="inlineStr">
        <is>
          <t>0</t>
        </is>
      </c>
      <c r="G57" s="52">
        <f>IF(NbEnfDefunt=0,0,Q_EnfNP/NbEnfDefunt)*D57</f>
        <v/>
      </c>
      <c r="H57" s="39">
        <f>MasseDevolution*E57</f>
        <v/>
      </c>
      <c r="I57" s="39">
        <f>MasseDevolution*F57*TauxUsufruit</f>
        <v/>
      </c>
      <c r="J57" s="39">
        <f>MasseDevolution*G57*(1-TauxUsufruit)</f>
        <v/>
      </c>
      <c r="K57" s="41">
        <f>H57+I57+J57</f>
        <v/>
      </c>
      <c r="L57" s="10">
        <f>IF(INDEX(EnfHandicap,8)="Oui","Oui","Non")</f>
        <v/>
      </c>
    </row>
    <row r="58">
      <c r="B58" s="51">
        <f>"Ascendant privilégié n° 1 (père / mère)"</f>
        <v/>
      </c>
      <c r="C58" s="51">
        <f>IF(D58=1,"Ascendant (père / mère)","")</f>
        <v/>
      </c>
      <c r="D58" s="27">
        <f>IF(AND(NbParentsDefunt&gt;=1,Q_Parents&gt;0),1,0)</f>
        <v/>
      </c>
      <c r="E58" s="52">
        <f>IF(NbParentsDefunt=0,0,Q_Parents/NbParentsDefunt)*D58</f>
        <v/>
      </c>
      <c r="F58" s="52" t="inlineStr">
        <is>
          <t>0</t>
        </is>
      </c>
      <c r="G58" s="52" t="inlineStr">
        <is>
          <t>0</t>
        </is>
      </c>
      <c r="H58" s="39">
        <f>MasseDevolution*E58</f>
        <v/>
      </c>
      <c r="I58" s="39">
        <f>MasseDevolution*F58*TauxUsufruit</f>
        <v/>
      </c>
      <c r="J58" s="39">
        <f>MasseDevolution*G58*(1-TauxUsufruit)</f>
        <v/>
      </c>
      <c r="K58" s="41">
        <f>H58+I58+J58</f>
        <v/>
      </c>
      <c r="L58" s="10">
        <f>"Non"</f>
        <v/>
      </c>
    </row>
    <row r="59">
      <c r="B59" s="51">
        <f>"Ascendant privilégié n° 2 (père / mère)"</f>
        <v/>
      </c>
      <c r="C59" s="51">
        <f>IF(D59=1,"Ascendant (père / mère)","")</f>
        <v/>
      </c>
      <c r="D59" s="27">
        <f>IF(AND(NbParentsDefunt&gt;=2,Q_Parents&gt;0),1,0)</f>
        <v/>
      </c>
      <c r="E59" s="52">
        <f>IF(NbParentsDefunt=0,0,Q_Parents/NbParentsDefunt)*D59</f>
        <v/>
      </c>
      <c r="F59" s="52" t="inlineStr">
        <is>
          <t>0</t>
        </is>
      </c>
      <c r="G59" s="52" t="inlineStr">
        <is>
          <t>0</t>
        </is>
      </c>
      <c r="H59" s="39">
        <f>MasseDevolution*E59</f>
        <v/>
      </c>
      <c r="I59" s="39">
        <f>MasseDevolution*F59*TauxUsufruit</f>
        <v/>
      </c>
      <c r="J59" s="39">
        <f>MasseDevolution*G59*(1-TauxUsufruit)</f>
        <v/>
      </c>
      <c r="K59" s="41">
        <f>H59+I59+J59</f>
        <v/>
      </c>
      <c r="L59" s="10">
        <f>"Non"</f>
        <v/>
      </c>
    </row>
    <row r="60">
      <c r="B60" s="51">
        <f>"Frère / sœur n° 1"</f>
        <v/>
      </c>
      <c r="C60" s="51">
        <f>IF(D60=1,"Frère / Sœur","")</f>
        <v/>
      </c>
      <c r="D60" s="27">
        <f>IF(AND(NbFreresDefunt&gt;=1,Q_Freres&gt;0),1,0)</f>
        <v/>
      </c>
      <c r="E60" s="52">
        <f>IF(NbFreresDefunt=0,0,Q_Freres/MAX(NbFreresDefunt,1))*D60</f>
        <v/>
      </c>
      <c r="F60" s="52" t="inlineStr">
        <is>
          <t>0</t>
        </is>
      </c>
      <c r="G60" s="52" t="inlineStr">
        <is>
          <t>0</t>
        </is>
      </c>
      <c r="H60" s="39">
        <f>MasseDevolution*E60</f>
        <v/>
      </c>
      <c r="I60" s="39">
        <f>MasseDevolution*F60*TauxUsufruit</f>
        <v/>
      </c>
      <c r="J60" s="39">
        <f>MasseDevolution*G60*(1-TauxUsufruit)</f>
        <v/>
      </c>
      <c r="K60" s="41">
        <f>H60+I60+J60</f>
        <v/>
      </c>
      <c r="L60" s="10">
        <f>"Non"</f>
        <v/>
      </c>
    </row>
    <row r="61">
      <c r="B61" s="51">
        <f>"Frère / sœur n° 2"</f>
        <v/>
      </c>
      <c r="C61" s="51">
        <f>IF(D61=1,"Frère / Sœur","")</f>
        <v/>
      </c>
      <c r="D61" s="27">
        <f>IF(AND(NbFreresDefunt&gt;=2,Q_Freres&gt;0),1,0)</f>
        <v/>
      </c>
      <c r="E61" s="52">
        <f>IF(NbFreresDefunt=0,0,Q_Freres/MAX(NbFreresDefunt,1))*D61</f>
        <v/>
      </c>
      <c r="F61" s="52" t="inlineStr">
        <is>
          <t>0</t>
        </is>
      </c>
      <c r="G61" s="52" t="inlineStr">
        <is>
          <t>0</t>
        </is>
      </c>
      <c r="H61" s="39">
        <f>MasseDevolution*E61</f>
        <v/>
      </c>
      <c r="I61" s="39">
        <f>MasseDevolution*F61*TauxUsufruit</f>
        <v/>
      </c>
      <c r="J61" s="39">
        <f>MasseDevolution*G61*(1-TauxUsufruit)</f>
        <v/>
      </c>
      <c r="K61" s="41">
        <f>H61+I61+J61</f>
        <v/>
      </c>
      <c r="L61" s="10">
        <f>"Non"</f>
        <v/>
      </c>
    </row>
    <row r="62">
      <c r="B62" s="51">
        <f>"Frère / sœur n° 3"</f>
        <v/>
      </c>
      <c r="C62" s="51">
        <f>IF(D62=1,"Frère / Sœur","")</f>
        <v/>
      </c>
      <c r="D62" s="27">
        <f>IF(AND(NbFreresDefunt&gt;=3,Q_Freres&gt;0),1,0)</f>
        <v/>
      </c>
      <c r="E62" s="52">
        <f>IF(NbFreresDefunt=0,0,Q_Freres/MAX(NbFreresDefunt,1))*D62</f>
        <v/>
      </c>
      <c r="F62" s="52" t="inlineStr">
        <is>
          <t>0</t>
        </is>
      </c>
      <c r="G62" s="52" t="inlineStr">
        <is>
          <t>0</t>
        </is>
      </c>
      <c r="H62" s="39">
        <f>MasseDevolution*E62</f>
        <v/>
      </c>
      <c r="I62" s="39">
        <f>MasseDevolution*F62*TauxUsufruit</f>
        <v/>
      </c>
      <c r="J62" s="39">
        <f>MasseDevolution*G62*(1-TauxUsufruit)</f>
        <v/>
      </c>
      <c r="K62" s="41">
        <f>H62+I62+J62</f>
        <v/>
      </c>
      <c r="L62" s="10">
        <f>"Non"</f>
        <v/>
      </c>
    </row>
    <row r="63">
      <c r="B63" s="51">
        <f>"Frère / sœur n° 4"</f>
        <v/>
      </c>
      <c r="C63" s="51">
        <f>IF(D63=1,"Frère / Sœur","")</f>
        <v/>
      </c>
      <c r="D63" s="27">
        <f>IF(AND(NbFreresDefunt&gt;=4,Q_Freres&gt;0),1,0)</f>
        <v/>
      </c>
      <c r="E63" s="52">
        <f>IF(NbFreresDefunt=0,0,Q_Freres/MAX(NbFreresDefunt,1))*D63</f>
        <v/>
      </c>
      <c r="F63" s="52" t="inlineStr">
        <is>
          <t>0</t>
        </is>
      </c>
      <c r="G63" s="52" t="inlineStr">
        <is>
          <t>0</t>
        </is>
      </c>
      <c r="H63" s="39">
        <f>MasseDevolution*E63</f>
        <v/>
      </c>
      <c r="I63" s="39">
        <f>MasseDevolution*F63*TauxUsufruit</f>
        <v/>
      </c>
      <c r="J63" s="39">
        <f>MasseDevolution*G63*(1-TauxUsufruit)</f>
        <v/>
      </c>
      <c r="K63" s="41">
        <f>H63+I63+J63</f>
        <v/>
      </c>
      <c r="L63" s="10">
        <f>"Non"</f>
        <v/>
      </c>
    </row>
    <row r="64">
      <c r="B64" s="51">
        <f>IF(INDEX(LegsBenef,1)="","",INDEX(LegsBenef,1))</f>
        <v/>
      </c>
      <c r="C64" s="51">
        <f>IF(INDEX(LegsMontant,1)&gt;0,INDEX(LegsLien,1),"")</f>
        <v/>
      </c>
      <c r="D64" s="27">
        <f>IF(INDEX(LegsMontant,1)&gt;0,1,0)</f>
        <v/>
      </c>
      <c r="E64" s="52" t="inlineStr">
        <is>
          <t>0</t>
        </is>
      </c>
      <c r="F64" s="52" t="inlineStr">
        <is>
          <t>0</t>
        </is>
      </c>
      <c r="G64" s="52" t="inlineStr">
        <is>
          <t>0</t>
        </is>
      </c>
      <c r="H64" s="39">
        <f>INDEX(LegsMontant,1)</f>
        <v/>
      </c>
      <c r="I64" s="39">
        <f>MasseDevolution*F64*TauxUsufruit</f>
        <v/>
      </c>
      <c r="J64" s="39">
        <f>MasseDevolution*G64*(1-TauxUsufruit)</f>
        <v/>
      </c>
      <c r="K64" s="41">
        <f>H64+I64+J64</f>
        <v/>
      </c>
      <c r="L64" s="10">
        <f>"Non"</f>
        <v/>
      </c>
    </row>
    <row r="65">
      <c r="B65" s="51">
        <f>IF(INDEX(LegsBenef,2)="","",INDEX(LegsBenef,2))</f>
        <v/>
      </c>
      <c r="C65" s="51">
        <f>IF(INDEX(LegsMontant,2)&gt;0,INDEX(LegsLien,2),"")</f>
        <v/>
      </c>
      <c r="D65" s="27">
        <f>IF(INDEX(LegsMontant,2)&gt;0,1,0)</f>
        <v/>
      </c>
      <c r="E65" s="52" t="inlineStr">
        <is>
          <t>0</t>
        </is>
      </c>
      <c r="F65" s="52" t="inlineStr">
        <is>
          <t>0</t>
        </is>
      </c>
      <c r="G65" s="52" t="inlineStr">
        <is>
          <t>0</t>
        </is>
      </c>
      <c r="H65" s="39">
        <f>INDEX(LegsMontant,2)</f>
        <v/>
      </c>
      <c r="I65" s="39">
        <f>MasseDevolution*F65*TauxUsufruit</f>
        <v/>
      </c>
      <c r="J65" s="39">
        <f>MasseDevolution*G65*(1-TauxUsufruit)</f>
        <v/>
      </c>
      <c r="K65" s="41">
        <f>H65+I65+J65</f>
        <v/>
      </c>
      <c r="L65" s="10">
        <f>"Non"</f>
        <v/>
      </c>
    </row>
    <row r="66">
      <c r="B66" s="51">
        <f>IF(INDEX(LegsBenef,3)="","",INDEX(LegsBenef,3))</f>
        <v/>
      </c>
      <c r="C66" s="51">
        <f>IF(INDEX(LegsMontant,3)&gt;0,INDEX(LegsLien,3),"")</f>
        <v/>
      </c>
      <c r="D66" s="27">
        <f>IF(INDEX(LegsMontant,3)&gt;0,1,0)</f>
        <v/>
      </c>
      <c r="E66" s="52" t="inlineStr">
        <is>
          <t>0</t>
        </is>
      </c>
      <c r="F66" s="52" t="inlineStr">
        <is>
          <t>0</t>
        </is>
      </c>
      <c r="G66" s="52" t="inlineStr">
        <is>
          <t>0</t>
        </is>
      </c>
      <c r="H66" s="39">
        <f>INDEX(LegsMontant,3)</f>
        <v/>
      </c>
      <c r="I66" s="39">
        <f>MasseDevolution*F66*TauxUsufruit</f>
        <v/>
      </c>
      <c r="J66" s="39">
        <f>MasseDevolution*G66*(1-TauxUsufruit)</f>
        <v/>
      </c>
      <c r="K66" s="41">
        <f>H66+I66+J66</f>
        <v/>
      </c>
      <c r="L66" s="10">
        <f>"Non"</f>
        <v/>
      </c>
    </row>
    <row r="67">
      <c r="B67" s="51">
        <f>IF(INDEX(LegsBenef,4)="","",INDEX(LegsBenef,4))</f>
        <v/>
      </c>
      <c r="C67" s="51">
        <f>IF(INDEX(LegsMontant,4)&gt;0,INDEX(LegsLien,4),"")</f>
        <v/>
      </c>
      <c r="D67" s="27">
        <f>IF(INDEX(LegsMontant,4)&gt;0,1,0)</f>
        <v/>
      </c>
      <c r="E67" s="52" t="inlineStr">
        <is>
          <t>0</t>
        </is>
      </c>
      <c r="F67" s="52" t="inlineStr">
        <is>
          <t>0</t>
        </is>
      </c>
      <c r="G67" s="52" t="inlineStr">
        <is>
          <t>0</t>
        </is>
      </c>
      <c r="H67" s="39">
        <f>INDEX(LegsMontant,4)</f>
        <v/>
      </c>
      <c r="I67" s="39">
        <f>MasseDevolution*F67*TauxUsufruit</f>
        <v/>
      </c>
      <c r="J67" s="39">
        <f>MasseDevolution*G67*(1-TauxUsufruit)</f>
        <v/>
      </c>
      <c r="K67" s="41">
        <f>H67+I67+J67</f>
        <v/>
      </c>
      <c r="L67" s="10">
        <f>"Non"</f>
        <v/>
      </c>
    </row>
    <row r="68">
      <c r="B68" s="51">
        <f>"Autres héritiers (ordres 3 et 4) ou État"</f>
        <v/>
      </c>
      <c r="C68" s="8" t="inlineStr">
        <is>
          <t>Oncle / Tante / Cousin germain</t>
        </is>
      </c>
      <c r="D68" s="27">
        <f>IF(Q_Autres&gt;0,1,0)</f>
        <v/>
      </c>
      <c r="E68" s="52">
        <f>Q_Autres</f>
        <v/>
      </c>
      <c r="F68" s="52" t="inlineStr">
        <is>
          <t>0</t>
        </is>
      </c>
      <c r="G68" s="52" t="inlineStr">
        <is>
          <t>0</t>
        </is>
      </c>
      <c r="H68" s="39">
        <f>MasseDevolution*E68</f>
        <v/>
      </c>
      <c r="I68" s="39" t="inlineStr">
        <is>
          <t>0</t>
        </is>
      </c>
      <c r="J68" s="39" t="inlineStr">
        <is>
          <t>0</t>
        </is>
      </c>
      <c r="K68" s="41">
        <f>H68+I68+J68</f>
        <v/>
      </c>
      <c r="L68" s="10">
        <f>"Non"</f>
        <v/>
      </c>
    </row>
    <row r="69">
      <c r="B69" s="17" t="inlineStr">
        <is>
          <t>TOTAL RÉPARTI</t>
        </is>
      </c>
      <c r="H69" s="41">
        <f>SUM(H49:H68)</f>
        <v/>
      </c>
      <c r="I69" s="41">
        <f>SUM(I49:I68)</f>
        <v/>
      </c>
      <c r="J69" s="41">
        <f>SUM(J49:J68)</f>
        <v/>
      </c>
      <c r="K69" s="41">
        <f>SUM(K49:K68)</f>
        <v/>
      </c>
    </row>
    <row r="70">
      <c r="B70" s="24" t="inlineStr">
        <is>
          <t>CONTRÔLE — écart avec la masse civile</t>
        </is>
      </c>
      <c r="K70" s="53">
        <f>K69-MasseCivile</f>
        <v/>
      </c>
    </row>
    <row r="71">
      <c r="B71" s="21" t="inlineStr">
        <is>
          <t>L'usufruit et la nue-propriété sont valorisés selon l'article 669 du CGI, d'après l'âge du conjoint survivant retenu sur la feuille « Patrimoine ». Au décès de l'usufruitier, la réunion de l'usufruit à la nue-propriété se fait EN FRANCHISE DE DROITS (art. 1133 CGI).</t>
        </is>
      </c>
    </row>
    <row r="72">
      <c r="B72" s="21" t="inlineStr">
        <is>
          <t>Simplifications assumées : pas de représentation automatique des petits-enfants, pas de fente successorale entre branches paternelle et maternelle, pas de rapport civil des donations, pas de récompenses entre patrimoines propres et commun.</t>
        </is>
      </c>
    </row>
  </sheetData>
  <dataValidations count="3">
    <dataValidation sqref="C19" showDropDown="0" showInputMessage="0" showErrorMessage="0" allowBlank="1" errorTitle="Valeur non autorisée" error="Choisissez une valeur dans la liste déroulante." type="list">
      <formula1>"1/4 en pleine propriété (option légale),100 % en usufruit (option légale),DDV - 1/4 en PP + 3/4 en usufruit,DDV - Quotité disponible en pleine propriété,Aucune (conjoint renonçant ou non héritier)"</formula1>
    </dataValidation>
    <dataValidation sqref="C39:C42" showDropDown="0" showInputMessage="0" showErrorMessage="0" allowBlank="1" errorTitle="Valeur non autorisée" error="Choisissez une valeur dans la liste déroulante." type="list">
      <formula1>AbatLien</formula1>
    </dataValidation>
    <dataValidation sqref="C68" showDropDown="0" showInputMessage="0" showErrorMessage="0" allowBlank="1" errorTitle="Valeur non autorisée" error="Choisissez une valeur dans la liste déroulante." type="list">
      <formula1>AbatLien</formula1>
    </dataValidation>
  </dataValidations>
  <printOptions horizontalCentered="1"/>
  <pageMargins left="0.75" right="0.75" top="1" bottom="1" header="0.5" footer="0.5"/>
  <pageSetup orientation="landscape" fitToHeight="0" fitToWidth="1"/>
</worksheet>
</file>

<file path=xl/worksheets/sheet5.xml><?xml version="1.0" encoding="utf-8"?>
<worksheet xmlns="http://schemas.openxmlformats.org/spreadsheetml/2006/main">
  <sheetPr>
    <tabColor rgb="00C55A11"/>
    <outlinePr summaryBelow="1" summaryRight="1"/>
    <pageSetUpPr fitToPage="1"/>
  </sheetPr>
  <dimension ref="A1:P57"/>
  <sheetViews>
    <sheetView showGridLines="0" zoomScale="85" workbookViewId="0">
      <pane xSplit="2" ySplit="7" topLeftCell="C8"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26" customWidth="1" min="3" max="3"/>
    <col width="16" customWidth="1" min="4" max="4"/>
    <col width="16" customWidth="1" min="5" max="5"/>
    <col width="15" customWidth="1" min="6" max="6"/>
    <col width="16" customWidth="1" min="7" max="7"/>
    <col width="15" customWidth="1" min="8" max="8"/>
    <col width="13" customWidth="1" min="9" max="9"/>
    <col width="15" customWidth="1" min="10" max="10"/>
    <col width="15" customWidth="1" min="11" max="11"/>
    <col width="16" customWidth="1" min="12" max="12"/>
    <col width="22" customWidth="1" min="13" max="13"/>
    <col width="16" customWidth="1" min="14" max="14"/>
    <col width="11" customWidth="1" min="15" max="15"/>
    <col width="16" customWidth="1" min="16" max="16"/>
    <col width="4" customWidth="1" min="17" max="17"/>
    <col width="55" customWidth="1" min="18" max="18"/>
  </cols>
  <sheetData>
    <row r="1" ht="30" customHeight="1">
      <c r="A1" s="1" t="inlineStr">
        <is>
          <t>DROITS DE SUCCESSION — LIQUIDATION PAR HÉRITIER</t>
        </is>
      </c>
      <c r="B1" s="2" t="n"/>
      <c r="C1" s="2" t="n"/>
      <c r="D1" s="2" t="n"/>
      <c r="E1" s="2" t="n"/>
      <c r="F1" s="2" t="n"/>
      <c r="G1" s="2" t="n"/>
      <c r="H1" s="2" t="n"/>
      <c r="I1" s="2" t="n"/>
      <c r="J1" s="2" t="n"/>
      <c r="K1" s="2" t="n"/>
      <c r="L1" s="2" t="n"/>
      <c r="M1" s="2" t="n"/>
      <c r="N1" s="2" t="n"/>
      <c r="O1" s="2" t="n"/>
      <c r="P1" s="2" t="n"/>
    </row>
    <row r="2" ht="14" customHeight="1">
      <c r="A2" s="3" t="inlineStr">
        <is>
          <t>Abattements personnels (art. 779 et 788 CGI), rappel fiscal des donations de moins de 15 ans et barème progressif de l'article 777 du CGI.</t>
        </is>
      </c>
    </row>
    <row r="4" ht="20" customHeight="1">
      <c r="A4" s="4" t="inlineStr">
        <is>
          <t>1.  RAPPEL DES ASSIETTES</t>
        </is>
      </c>
      <c r="B4" s="5" t="n"/>
      <c r="C4" s="5" t="n"/>
      <c r="D4" s="5" t="n"/>
      <c r="E4" s="5" t="n"/>
      <c r="F4" s="5" t="n"/>
      <c r="G4" s="5" t="n"/>
      <c r="H4" s="5" t="n"/>
      <c r="I4" s="5" t="n"/>
      <c r="J4" s="5" t="n"/>
      <c r="K4" s="5" t="n"/>
      <c r="L4" s="5" t="n"/>
      <c r="M4" s="5" t="n"/>
      <c r="N4" s="5" t="n"/>
      <c r="O4" s="5" t="n"/>
      <c r="P4" s="5" t="n"/>
    </row>
    <row r="5">
      <c r="B5" s="9" t="inlineStr">
        <is>
          <t>Masse civile partagée</t>
        </is>
      </c>
      <c r="C5" s="54">
        <f>MasseCivile</f>
        <v/>
      </c>
    </row>
    <row r="6">
      <c r="B6" s="9" t="inlineStr">
        <is>
          <t>Assiette taxable après abattement résidence principale</t>
        </is>
      </c>
      <c r="C6" s="54">
        <f>MasseFiscale</f>
        <v/>
      </c>
    </row>
    <row r="7">
      <c r="B7" s="9" t="inlineStr">
        <is>
          <t>Coefficient de passage civil → fiscal</t>
        </is>
      </c>
      <c r="C7" s="55">
        <f>CoefFiscal</f>
        <v/>
      </c>
    </row>
    <row r="9" ht="20" customHeight="1">
      <c r="A9" s="4" t="inlineStr">
        <is>
          <t>2.  LIQUIDATION DES DROITS, HÉRITIER PAR HÉRITIER</t>
        </is>
      </c>
      <c r="B9" s="5" t="n"/>
      <c r="C9" s="5" t="n"/>
      <c r="D9" s="5" t="n"/>
      <c r="E9" s="5" t="n"/>
      <c r="F9" s="5" t="n"/>
      <c r="G9" s="5" t="n"/>
      <c r="H9" s="5" t="n"/>
      <c r="I9" s="5" t="n"/>
      <c r="J9" s="5" t="n"/>
      <c r="K9" s="5" t="n"/>
      <c r="L9" s="5" t="n"/>
      <c r="M9" s="5" t="n"/>
      <c r="N9" s="5" t="n"/>
      <c r="O9" s="5" t="n"/>
      <c r="P9" s="5" t="n"/>
    </row>
    <row r="10" ht="28" customHeight="1">
      <c r="B10" s="14" t="inlineStr">
        <is>
          <t>Héritier</t>
        </is>
      </c>
      <c r="C10" s="14" t="inlineStr">
        <is>
          <t>Lien de parenté</t>
        </is>
      </c>
      <c r="D10" s="14" t="inlineStr">
        <is>
          <t>Part reçue — valeur civile (€)</t>
        </is>
      </c>
      <c r="E10" s="14" t="inlineStr">
        <is>
          <t>Assiette fiscale de la part (€)</t>
        </is>
      </c>
      <c r="F10" s="14" t="inlineStr">
        <is>
          <t>Primes d'assurance-vie art. 757 B (€)</t>
        </is>
      </c>
      <c r="G10" s="14" t="inlineStr">
        <is>
          <t>Base avant abattement (€)</t>
        </is>
      </c>
      <c r="H10" s="14" t="inlineStr">
        <is>
          <t>Abattement personnel (€)</t>
        </is>
      </c>
      <c r="I10" s="14" t="inlineStr">
        <is>
          <t>Abattement handicap (€)</t>
        </is>
      </c>
      <c r="J10" s="14" t="inlineStr">
        <is>
          <t>− consommé par donations (€)</t>
        </is>
      </c>
      <c r="K10" s="14" t="inlineStr">
        <is>
          <t>Abattement net (€)</t>
        </is>
      </c>
      <c r="L10" s="14" t="inlineStr">
        <is>
          <t>BASE TAXABLE (€)</t>
        </is>
      </c>
      <c r="M10" s="14" t="inlineStr">
        <is>
          <t>Catégorie de barème</t>
        </is>
      </c>
      <c r="N10" s="14" t="inlineStr">
        <is>
          <t>DROITS DE SUCCESSION (€)</t>
        </is>
      </c>
      <c r="O10" s="14" t="inlineStr">
        <is>
          <t>Taux moyen</t>
        </is>
      </c>
      <c r="P10" s="14" t="inlineStr">
        <is>
          <t>Net perçu de la succession (€)</t>
        </is>
      </c>
    </row>
    <row r="11">
      <c r="B11" s="51">
        <f>IF(INDEX(HerNom,1)="","",INDEX(HerNom,1))</f>
        <v/>
      </c>
      <c r="C11" s="51">
        <f>IF(INDEX(HerPresent,1)=1,INDEX(HerLien,1),"")</f>
        <v/>
      </c>
      <c r="D11" s="56">
        <f>INDEX(HerValeur,1)</f>
        <v/>
      </c>
      <c r="E11" s="39">
        <f>D11*CoefFiscal</f>
        <v/>
      </c>
      <c r="F11" s="39">
        <f>IF(B11="",0,SUMIFS(AV_Taxable757,AV_BenefNom,B11))</f>
        <v/>
      </c>
      <c r="G11" s="39">
        <f>E11+F11</f>
        <v/>
      </c>
      <c r="H11" s="39">
        <f>IF(G11=0,0,IFERROR(INDEX(AbatMontant,MATCH(C11,AbatLien,0)),0))</f>
        <v/>
      </c>
      <c r="I11" s="39">
        <f>IF(AND(G11&gt;0,INDEX(HerHandicap,1)="Oui"),AbatHandicap,0)</f>
        <v/>
      </c>
      <c r="J11" s="39">
        <f>IF(B11="",0,SUMIFS(DonAbatConso,DonNom,B11))</f>
        <v/>
      </c>
      <c r="K11" s="39">
        <f>MAX(0,H11+I11-J11)</f>
        <v/>
      </c>
      <c r="L11" s="57">
        <f>MAX(0,G11-K11)</f>
        <v/>
      </c>
      <c r="M11" s="10">
        <f>IF(C11="","",IFERROR(INDEX(AbatCat,MATCH(C11,AbatLien,0)),"Autres"))</f>
        <v/>
      </c>
      <c r="N11" s="57">
        <f>IF(OR(M11="",M11="Exonéré"),0,SUMPRODUCT((BarCat=M11)*(L11&gt;BarSeuil)*(L11-BarSeuil)*(BarTaux-BarPrev)))</f>
        <v/>
      </c>
      <c r="O11" s="40">
        <f>IF(D11+F11=0,0,N11/(D11+F11))</f>
        <v/>
      </c>
      <c r="P11" s="39">
        <f>D11-N11</f>
        <v/>
      </c>
    </row>
    <row r="12">
      <c r="B12" s="51">
        <f>IF(INDEX(HerNom,2)="","",INDEX(HerNom,2))</f>
        <v/>
      </c>
      <c r="C12" s="51">
        <f>IF(INDEX(HerPresent,2)=1,INDEX(HerLien,2),"")</f>
        <v/>
      </c>
      <c r="D12" s="56">
        <f>INDEX(HerValeur,2)</f>
        <v/>
      </c>
      <c r="E12" s="39">
        <f>D12*CoefFiscal</f>
        <v/>
      </c>
      <c r="F12" s="39">
        <f>IF(B12="",0,SUMIFS(AV_Taxable757,AV_BenefNom,B12))</f>
        <v/>
      </c>
      <c r="G12" s="39">
        <f>E12+F12</f>
        <v/>
      </c>
      <c r="H12" s="39">
        <f>IF(G12=0,0,IFERROR(INDEX(AbatMontant,MATCH(C12,AbatLien,0)),0))</f>
        <v/>
      </c>
      <c r="I12" s="39">
        <f>IF(AND(G12&gt;0,INDEX(HerHandicap,2)="Oui"),AbatHandicap,0)</f>
        <v/>
      </c>
      <c r="J12" s="39">
        <f>IF(B12="",0,SUMIFS(DonAbatConso,DonNom,B12))</f>
        <v/>
      </c>
      <c r="K12" s="39">
        <f>MAX(0,H12+I12-J12)</f>
        <v/>
      </c>
      <c r="L12" s="57">
        <f>MAX(0,G12-K12)</f>
        <v/>
      </c>
      <c r="M12" s="10">
        <f>IF(C12="","",IFERROR(INDEX(AbatCat,MATCH(C12,AbatLien,0)),"Autres"))</f>
        <v/>
      </c>
      <c r="N12" s="57">
        <f>IF(OR(M12="",M12="Exonéré"),0,SUMPRODUCT((BarCat=M12)*(L12&gt;BarSeuil)*(L12-BarSeuil)*(BarTaux-BarPrev)))</f>
        <v/>
      </c>
      <c r="O12" s="40">
        <f>IF(D12+F12=0,0,N12/(D12+F12))</f>
        <v/>
      </c>
      <c r="P12" s="39">
        <f>D12-N12</f>
        <v/>
      </c>
    </row>
    <row r="13">
      <c r="B13" s="51">
        <f>IF(INDEX(HerNom,3)="","",INDEX(HerNom,3))</f>
        <v/>
      </c>
      <c r="C13" s="51">
        <f>IF(INDEX(HerPresent,3)=1,INDEX(HerLien,3),"")</f>
        <v/>
      </c>
      <c r="D13" s="56">
        <f>INDEX(HerValeur,3)</f>
        <v/>
      </c>
      <c r="E13" s="39">
        <f>D13*CoefFiscal</f>
        <v/>
      </c>
      <c r="F13" s="39">
        <f>IF(B13="",0,SUMIFS(AV_Taxable757,AV_BenefNom,B13))</f>
        <v/>
      </c>
      <c r="G13" s="39">
        <f>E13+F13</f>
        <v/>
      </c>
      <c r="H13" s="39">
        <f>IF(G13=0,0,IFERROR(INDEX(AbatMontant,MATCH(C13,AbatLien,0)),0))</f>
        <v/>
      </c>
      <c r="I13" s="39">
        <f>IF(AND(G13&gt;0,INDEX(HerHandicap,3)="Oui"),AbatHandicap,0)</f>
        <v/>
      </c>
      <c r="J13" s="39">
        <f>IF(B13="",0,SUMIFS(DonAbatConso,DonNom,B13))</f>
        <v/>
      </c>
      <c r="K13" s="39">
        <f>MAX(0,H13+I13-J13)</f>
        <v/>
      </c>
      <c r="L13" s="57">
        <f>MAX(0,G13-K13)</f>
        <v/>
      </c>
      <c r="M13" s="10">
        <f>IF(C13="","",IFERROR(INDEX(AbatCat,MATCH(C13,AbatLien,0)),"Autres"))</f>
        <v/>
      </c>
      <c r="N13" s="57">
        <f>IF(OR(M13="",M13="Exonéré"),0,SUMPRODUCT((BarCat=M13)*(L13&gt;BarSeuil)*(L13-BarSeuil)*(BarTaux-BarPrev)))</f>
        <v/>
      </c>
      <c r="O13" s="40">
        <f>IF(D13+F13=0,0,N13/(D13+F13))</f>
        <v/>
      </c>
      <c r="P13" s="39">
        <f>D13-N13</f>
        <v/>
      </c>
    </row>
    <row r="14">
      <c r="B14" s="51">
        <f>IF(INDEX(HerNom,4)="","",INDEX(HerNom,4))</f>
        <v/>
      </c>
      <c r="C14" s="51">
        <f>IF(INDEX(HerPresent,4)=1,INDEX(HerLien,4),"")</f>
        <v/>
      </c>
      <c r="D14" s="56">
        <f>INDEX(HerValeur,4)</f>
        <v/>
      </c>
      <c r="E14" s="39">
        <f>D14*CoefFiscal</f>
        <v/>
      </c>
      <c r="F14" s="39">
        <f>IF(B14="",0,SUMIFS(AV_Taxable757,AV_BenefNom,B14))</f>
        <v/>
      </c>
      <c r="G14" s="39">
        <f>E14+F14</f>
        <v/>
      </c>
      <c r="H14" s="39">
        <f>IF(G14=0,0,IFERROR(INDEX(AbatMontant,MATCH(C14,AbatLien,0)),0))</f>
        <v/>
      </c>
      <c r="I14" s="39">
        <f>IF(AND(G14&gt;0,INDEX(HerHandicap,4)="Oui"),AbatHandicap,0)</f>
        <v/>
      </c>
      <c r="J14" s="39">
        <f>IF(B14="",0,SUMIFS(DonAbatConso,DonNom,B14))</f>
        <v/>
      </c>
      <c r="K14" s="39">
        <f>MAX(0,H14+I14-J14)</f>
        <v/>
      </c>
      <c r="L14" s="57">
        <f>MAX(0,G14-K14)</f>
        <v/>
      </c>
      <c r="M14" s="10">
        <f>IF(C14="","",IFERROR(INDEX(AbatCat,MATCH(C14,AbatLien,0)),"Autres"))</f>
        <v/>
      </c>
      <c r="N14" s="57">
        <f>IF(OR(M14="",M14="Exonéré"),0,SUMPRODUCT((BarCat=M14)*(L14&gt;BarSeuil)*(L14-BarSeuil)*(BarTaux-BarPrev)))</f>
        <v/>
      </c>
      <c r="O14" s="40">
        <f>IF(D14+F14=0,0,N14/(D14+F14))</f>
        <v/>
      </c>
      <c r="P14" s="39">
        <f>D14-N14</f>
        <v/>
      </c>
    </row>
    <row r="15">
      <c r="B15" s="51">
        <f>IF(INDEX(HerNom,5)="","",INDEX(HerNom,5))</f>
        <v/>
      </c>
      <c r="C15" s="51">
        <f>IF(INDEX(HerPresent,5)=1,INDEX(HerLien,5),"")</f>
        <v/>
      </c>
      <c r="D15" s="56">
        <f>INDEX(HerValeur,5)</f>
        <v/>
      </c>
      <c r="E15" s="39">
        <f>D15*CoefFiscal</f>
        <v/>
      </c>
      <c r="F15" s="39">
        <f>IF(B15="",0,SUMIFS(AV_Taxable757,AV_BenefNom,B15))</f>
        <v/>
      </c>
      <c r="G15" s="39">
        <f>E15+F15</f>
        <v/>
      </c>
      <c r="H15" s="39">
        <f>IF(G15=0,0,IFERROR(INDEX(AbatMontant,MATCH(C15,AbatLien,0)),0))</f>
        <v/>
      </c>
      <c r="I15" s="39">
        <f>IF(AND(G15&gt;0,INDEX(HerHandicap,5)="Oui"),AbatHandicap,0)</f>
        <v/>
      </c>
      <c r="J15" s="39">
        <f>IF(B15="",0,SUMIFS(DonAbatConso,DonNom,B15))</f>
        <v/>
      </c>
      <c r="K15" s="39">
        <f>MAX(0,H15+I15-J15)</f>
        <v/>
      </c>
      <c r="L15" s="57">
        <f>MAX(0,G15-K15)</f>
        <v/>
      </c>
      <c r="M15" s="10">
        <f>IF(C15="","",IFERROR(INDEX(AbatCat,MATCH(C15,AbatLien,0)),"Autres"))</f>
        <v/>
      </c>
      <c r="N15" s="57">
        <f>IF(OR(M15="",M15="Exonéré"),0,SUMPRODUCT((BarCat=M15)*(L15&gt;BarSeuil)*(L15-BarSeuil)*(BarTaux-BarPrev)))</f>
        <v/>
      </c>
      <c r="O15" s="40">
        <f>IF(D15+F15=0,0,N15/(D15+F15))</f>
        <v/>
      </c>
      <c r="P15" s="39">
        <f>D15-N15</f>
        <v/>
      </c>
    </row>
    <row r="16">
      <c r="B16" s="51">
        <f>IF(INDEX(HerNom,6)="","",INDEX(HerNom,6))</f>
        <v/>
      </c>
      <c r="C16" s="51">
        <f>IF(INDEX(HerPresent,6)=1,INDEX(HerLien,6),"")</f>
        <v/>
      </c>
      <c r="D16" s="56">
        <f>INDEX(HerValeur,6)</f>
        <v/>
      </c>
      <c r="E16" s="39">
        <f>D16*CoefFiscal</f>
        <v/>
      </c>
      <c r="F16" s="39">
        <f>IF(B16="",0,SUMIFS(AV_Taxable757,AV_BenefNom,B16))</f>
        <v/>
      </c>
      <c r="G16" s="39">
        <f>E16+F16</f>
        <v/>
      </c>
      <c r="H16" s="39">
        <f>IF(G16=0,0,IFERROR(INDEX(AbatMontant,MATCH(C16,AbatLien,0)),0))</f>
        <v/>
      </c>
      <c r="I16" s="39">
        <f>IF(AND(G16&gt;0,INDEX(HerHandicap,6)="Oui"),AbatHandicap,0)</f>
        <v/>
      </c>
      <c r="J16" s="39">
        <f>IF(B16="",0,SUMIFS(DonAbatConso,DonNom,B16))</f>
        <v/>
      </c>
      <c r="K16" s="39">
        <f>MAX(0,H16+I16-J16)</f>
        <v/>
      </c>
      <c r="L16" s="57">
        <f>MAX(0,G16-K16)</f>
        <v/>
      </c>
      <c r="M16" s="10">
        <f>IF(C16="","",IFERROR(INDEX(AbatCat,MATCH(C16,AbatLien,0)),"Autres"))</f>
        <v/>
      </c>
      <c r="N16" s="57">
        <f>IF(OR(M16="",M16="Exonéré"),0,SUMPRODUCT((BarCat=M16)*(L16&gt;BarSeuil)*(L16-BarSeuil)*(BarTaux-BarPrev)))</f>
        <v/>
      </c>
      <c r="O16" s="40">
        <f>IF(D16+F16=0,0,N16/(D16+F16))</f>
        <v/>
      </c>
      <c r="P16" s="39">
        <f>D16-N16</f>
        <v/>
      </c>
    </row>
    <row r="17">
      <c r="B17" s="51">
        <f>IF(INDEX(HerNom,7)="","",INDEX(HerNom,7))</f>
        <v/>
      </c>
      <c r="C17" s="51">
        <f>IF(INDEX(HerPresent,7)=1,INDEX(HerLien,7),"")</f>
        <v/>
      </c>
      <c r="D17" s="56">
        <f>INDEX(HerValeur,7)</f>
        <v/>
      </c>
      <c r="E17" s="39">
        <f>D17*CoefFiscal</f>
        <v/>
      </c>
      <c r="F17" s="39">
        <f>IF(B17="",0,SUMIFS(AV_Taxable757,AV_BenefNom,B17))</f>
        <v/>
      </c>
      <c r="G17" s="39">
        <f>E17+F17</f>
        <v/>
      </c>
      <c r="H17" s="39">
        <f>IF(G17=0,0,IFERROR(INDEX(AbatMontant,MATCH(C17,AbatLien,0)),0))</f>
        <v/>
      </c>
      <c r="I17" s="39">
        <f>IF(AND(G17&gt;0,INDEX(HerHandicap,7)="Oui"),AbatHandicap,0)</f>
        <v/>
      </c>
      <c r="J17" s="39">
        <f>IF(B17="",0,SUMIFS(DonAbatConso,DonNom,B17))</f>
        <v/>
      </c>
      <c r="K17" s="39">
        <f>MAX(0,H17+I17-J17)</f>
        <v/>
      </c>
      <c r="L17" s="57">
        <f>MAX(0,G17-K17)</f>
        <v/>
      </c>
      <c r="M17" s="10">
        <f>IF(C17="","",IFERROR(INDEX(AbatCat,MATCH(C17,AbatLien,0)),"Autres"))</f>
        <v/>
      </c>
      <c r="N17" s="57">
        <f>IF(OR(M17="",M17="Exonéré"),0,SUMPRODUCT((BarCat=M17)*(L17&gt;BarSeuil)*(L17-BarSeuil)*(BarTaux-BarPrev)))</f>
        <v/>
      </c>
      <c r="O17" s="40">
        <f>IF(D17+F17=0,0,N17/(D17+F17))</f>
        <v/>
      </c>
      <c r="P17" s="39">
        <f>D17-N17</f>
        <v/>
      </c>
    </row>
    <row r="18">
      <c r="B18" s="51">
        <f>IF(INDEX(HerNom,8)="","",INDEX(HerNom,8))</f>
        <v/>
      </c>
      <c r="C18" s="51">
        <f>IF(INDEX(HerPresent,8)=1,INDEX(HerLien,8),"")</f>
        <v/>
      </c>
      <c r="D18" s="56">
        <f>INDEX(HerValeur,8)</f>
        <v/>
      </c>
      <c r="E18" s="39">
        <f>D18*CoefFiscal</f>
        <v/>
      </c>
      <c r="F18" s="39">
        <f>IF(B18="",0,SUMIFS(AV_Taxable757,AV_BenefNom,B18))</f>
        <v/>
      </c>
      <c r="G18" s="39">
        <f>E18+F18</f>
        <v/>
      </c>
      <c r="H18" s="39">
        <f>IF(G18=0,0,IFERROR(INDEX(AbatMontant,MATCH(C18,AbatLien,0)),0))</f>
        <v/>
      </c>
      <c r="I18" s="39">
        <f>IF(AND(G18&gt;0,INDEX(HerHandicap,8)="Oui"),AbatHandicap,0)</f>
        <v/>
      </c>
      <c r="J18" s="39">
        <f>IF(B18="",0,SUMIFS(DonAbatConso,DonNom,B18))</f>
        <v/>
      </c>
      <c r="K18" s="39">
        <f>MAX(0,H18+I18-J18)</f>
        <v/>
      </c>
      <c r="L18" s="57">
        <f>MAX(0,G18-K18)</f>
        <v/>
      </c>
      <c r="M18" s="10">
        <f>IF(C18="","",IFERROR(INDEX(AbatCat,MATCH(C18,AbatLien,0)),"Autres"))</f>
        <v/>
      </c>
      <c r="N18" s="57">
        <f>IF(OR(M18="",M18="Exonéré"),0,SUMPRODUCT((BarCat=M18)*(L18&gt;BarSeuil)*(L18-BarSeuil)*(BarTaux-BarPrev)))</f>
        <v/>
      </c>
      <c r="O18" s="40">
        <f>IF(D18+F18=0,0,N18/(D18+F18))</f>
        <v/>
      </c>
      <c r="P18" s="39">
        <f>D18-N18</f>
        <v/>
      </c>
    </row>
    <row r="19">
      <c r="B19" s="51">
        <f>IF(INDEX(HerNom,9)="","",INDEX(HerNom,9))</f>
        <v/>
      </c>
      <c r="C19" s="51">
        <f>IF(INDEX(HerPresent,9)=1,INDEX(HerLien,9),"")</f>
        <v/>
      </c>
      <c r="D19" s="56">
        <f>INDEX(HerValeur,9)</f>
        <v/>
      </c>
      <c r="E19" s="39">
        <f>D19*CoefFiscal</f>
        <v/>
      </c>
      <c r="F19" s="39">
        <f>IF(B19="",0,SUMIFS(AV_Taxable757,AV_BenefNom,B19))</f>
        <v/>
      </c>
      <c r="G19" s="39">
        <f>E19+F19</f>
        <v/>
      </c>
      <c r="H19" s="39">
        <f>IF(G19=0,0,IFERROR(INDEX(AbatMontant,MATCH(C19,AbatLien,0)),0))</f>
        <v/>
      </c>
      <c r="I19" s="39">
        <f>IF(AND(G19&gt;0,INDEX(HerHandicap,9)="Oui"),AbatHandicap,0)</f>
        <v/>
      </c>
      <c r="J19" s="39">
        <f>IF(B19="",0,SUMIFS(DonAbatConso,DonNom,B19))</f>
        <v/>
      </c>
      <c r="K19" s="39">
        <f>MAX(0,H19+I19-J19)</f>
        <v/>
      </c>
      <c r="L19" s="57">
        <f>MAX(0,G19-K19)</f>
        <v/>
      </c>
      <c r="M19" s="10">
        <f>IF(C19="","",IFERROR(INDEX(AbatCat,MATCH(C19,AbatLien,0)),"Autres"))</f>
        <v/>
      </c>
      <c r="N19" s="57">
        <f>IF(OR(M19="",M19="Exonéré"),0,SUMPRODUCT((BarCat=M19)*(L19&gt;BarSeuil)*(L19-BarSeuil)*(BarTaux-BarPrev)))</f>
        <v/>
      </c>
      <c r="O19" s="40">
        <f>IF(D19+F19=0,0,N19/(D19+F19))</f>
        <v/>
      </c>
      <c r="P19" s="39">
        <f>D19-N19</f>
        <v/>
      </c>
    </row>
    <row r="20">
      <c r="B20" s="51">
        <f>IF(INDEX(HerNom,10)="","",INDEX(HerNom,10))</f>
        <v/>
      </c>
      <c r="C20" s="51">
        <f>IF(INDEX(HerPresent,10)=1,INDEX(HerLien,10),"")</f>
        <v/>
      </c>
      <c r="D20" s="56">
        <f>INDEX(HerValeur,10)</f>
        <v/>
      </c>
      <c r="E20" s="39">
        <f>D20*CoefFiscal</f>
        <v/>
      </c>
      <c r="F20" s="39">
        <f>IF(B20="",0,SUMIFS(AV_Taxable757,AV_BenefNom,B20))</f>
        <v/>
      </c>
      <c r="G20" s="39">
        <f>E20+F20</f>
        <v/>
      </c>
      <c r="H20" s="39">
        <f>IF(G20=0,0,IFERROR(INDEX(AbatMontant,MATCH(C20,AbatLien,0)),0))</f>
        <v/>
      </c>
      <c r="I20" s="39">
        <f>IF(AND(G20&gt;0,INDEX(HerHandicap,10)="Oui"),AbatHandicap,0)</f>
        <v/>
      </c>
      <c r="J20" s="39">
        <f>IF(B20="",0,SUMIFS(DonAbatConso,DonNom,B20))</f>
        <v/>
      </c>
      <c r="K20" s="39">
        <f>MAX(0,H20+I20-J20)</f>
        <v/>
      </c>
      <c r="L20" s="57">
        <f>MAX(0,G20-K20)</f>
        <v/>
      </c>
      <c r="M20" s="10">
        <f>IF(C20="","",IFERROR(INDEX(AbatCat,MATCH(C20,AbatLien,0)),"Autres"))</f>
        <v/>
      </c>
      <c r="N20" s="57">
        <f>IF(OR(M20="",M20="Exonéré"),0,SUMPRODUCT((BarCat=M20)*(L20&gt;BarSeuil)*(L20-BarSeuil)*(BarTaux-BarPrev)))</f>
        <v/>
      </c>
      <c r="O20" s="40">
        <f>IF(D20+F20=0,0,N20/(D20+F20))</f>
        <v/>
      </c>
      <c r="P20" s="39">
        <f>D20-N20</f>
        <v/>
      </c>
    </row>
    <row r="21">
      <c r="B21" s="51">
        <f>IF(INDEX(HerNom,11)="","",INDEX(HerNom,11))</f>
        <v/>
      </c>
      <c r="C21" s="51">
        <f>IF(INDEX(HerPresent,11)=1,INDEX(HerLien,11),"")</f>
        <v/>
      </c>
      <c r="D21" s="56">
        <f>INDEX(HerValeur,11)</f>
        <v/>
      </c>
      <c r="E21" s="39">
        <f>D21*CoefFiscal</f>
        <v/>
      </c>
      <c r="F21" s="39">
        <f>IF(B21="",0,SUMIFS(AV_Taxable757,AV_BenefNom,B21))</f>
        <v/>
      </c>
      <c r="G21" s="39">
        <f>E21+F21</f>
        <v/>
      </c>
      <c r="H21" s="39">
        <f>IF(G21=0,0,IFERROR(INDEX(AbatMontant,MATCH(C21,AbatLien,0)),0))</f>
        <v/>
      </c>
      <c r="I21" s="39">
        <f>IF(AND(G21&gt;0,INDEX(HerHandicap,11)="Oui"),AbatHandicap,0)</f>
        <v/>
      </c>
      <c r="J21" s="39">
        <f>IF(B21="",0,SUMIFS(DonAbatConso,DonNom,B21))</f>
        <v/>
      </c>
      <c r="K21" s="39">
        <f>MAX(0,H21+I21-J21)</f>
        <v/>
      </c>
      <c r="L21" s="57">
        <f>MAX(0,G21-K21)</f>
        <v/>
      </c>
      <c r="M21" s="10">
        <f>IF(C21="","",IFERROR(INDEX(AbatCat,MATCH(C21,AbatLien,0)),"Autres"))</f>
        <v/>
      </c>
      <c r="N21" s="57">
        <f>IF(OR(M21="",M21="Exonéré"),0,SUMPRODUCT((BarCat=M21)*(L21&gt;BarSeuil)*(L21-BarSeuil)*(BarTaux-BarPrev)))</f>
        <v/>
      </c>
      <c r="O21" s="40">
        <f>IF(D21+F21=0,0,N21/(D21+F21))</f>
        <v/>
      </c>
      <c r="P21" s="39">
        <f>D21-N21</f>
        <v/>
      </c>
    </row>
    <row r="22">
      <c r="B22" s="51">
        <f>IF(INDEX(HerNom,12)="","",INDEX(HerNom,12))</f>
        <v/>
      </c>
      <c r="C22" s="51">
        <f>IF(INDEX(HerPresent,12)=1,INDEX(HerLien,12),"")</f>
        <v/>
      </c>
      <c r="D22" s="56">
        <f>INDEX(HerValeur,12)</f>
        <v/>
      </c>
      <c r="E22" s="39">
        <f>D22*CoefFiscal</f>
        <v/>
      </c>
      <c r="F22" s="39">
        <f>IF(B22="",0,SUMIFS(AV_Taxable757,AV_BenefNom,B22))</f>
        <v/>
      </c>
      <c r="G22" s="39">
        <f>E22+F22</f>
        <v/>
      </c>
      <c r="H22" s="39">
        <f>IF(G22=0,0,IFERROR(INDEX(AbatMontant,MATCH(C22,AbatLien,0)),0))</f>
        <v/>
      </c>
      <c r="I22" s="39">
        <f>IF(AND(G22&gt;0,INDEX(HerHandicap,12)="Oui"),AbatHandicap,0)</f>
        <v/>
      </c>
      <c r="J22" s="39">
        <f>IF(B22="",0,SUMIFS(DonAbatConso,DonNom,B22))</f>
        <v/>
      </c>
      <c r="K22" s="39">
        <f>MAX(0,H22+I22-J22)</f>
        <v/>
      </c>
      <c r="L22" s="57">
        <f>MAX(0,G22-K22)</f>
        <v/>
      </c>
      <c r="M22" s="10">
        <f>IF(C22="","",IFERROR(INDEX(AbatCat,MATCH(C22,AbatLien,0)),"Autres"))</f>
        <v/>
      </c>
      <c r="N22" s="57">
        <f>IF(OR(M22="",M22="Exonéré"),0,SUMPRODUCT((BarCat=M22)*(L22&gt;BarSeuil)*(L22-BarSeuil)*(BarTaux-BarPrev)))</f>
        <v/>
      </c>
      <c r="O22" s="40">
        <f>IF(D22+F22=0,0,N22/(D22+F22))</f>
        <v/>
      </c>
      <c r="P22" s="39">
        <f>D22-N22</f>
        <v/>
      </c>
    </row>
    <row r="23">
      <c r="B23" s="51">
        <f>IF(INDEX(HerNom,13)="","",INDEX(HerNom,13))</f>
        <v/>
      </c>
      <c r="C23" s="51">
        <f>IF(INDEX(HerPresent,13)=1,INDEX(HerLien,13),"")</f>
        <v/>
      </c>
      <c r="D23" s="56">
        <f>INDEX(HerValeur,13)</f>
        <v/>
      </c>
      <c r="E23" s="39">
        <f>D23*CoefFiscal</f>
        <v/>
      </c>
      <c r="F23" s="39">
        <f>IF(B23="",0,SUMIFS(AV_Taxable757,AV_BenefNom,B23))</f>
        <v/>
      </c>
      <c r="G23" s="39">
        <f>E23+F23</f>
        <v/>
      </c>
      <c r="H23" s="39">
        <f>IF(G23=0,0,IFERROR(INDEX(AbatMontant,MATCH(C23,AbatLien,0)),0))</f>
        <v/>
      </c>
      <c r="I23" s="39">
        <f>IF(AND(G23&gt;0,INDEX(HerHandicap,13)="Oui"),AbatHandicap,0)</f>
        <v/>
      </c>
      <c r="J23" s="39">
        <f>IF(B23="",0,SUMIFS(DonAbatConso,DonNom,B23))</f>
        <v/>
      </c>
      <c r="K23" s="39">
        <f>MAX(0,H23+I23-J23)</f>
        <v/>
      </c>
      <c r="L23" s="57">
        <f>MAX(0,G23-K23)</f>
        <v/>
      </c>
      <c r="M23" s="10">
        <f>IF(C23="","",IFERROR(INDEX(AbatCat,MATCH(C23,AbatLien,0)),"Autres"))</f>
        <v/>
      </c>
      <c r="N23" s="57">
        <f>IF(OR(M23="",M23="Exonéré"),0,SUMPRODUCT((BarCat=M23)*(L23&gt;BarSeuil)*(L23-BarSeuil)*(BarTaux-BarPrev)))</f>
        <v/>
      </c>
      <c r="O23" s="40">
        <f>IF(D23+F23=0,0,N23/(D23+F23))</f>
        <v/>
      </c>
      <c r="P23" s="39">
        <f>D23-N23</f>
        <v/>
      </c>
    </row>
    <row r="24">
      <c r="B24" s="51">
        <f>IF(INDEX(HerNom,14)="","",INDEX(HerNom,14))</f>
        <v/>
      </c>
      <c r="C24" s="51">
        <f>IF(INDEX(HerPresent,14)=1,INDEX(HerLien,14),"")</f>
        <v/>
      </c>
      <c r="D24" s="56">
        <f>INDEX(HerValeur,14)</f>
        <v/>
      </c>
      <c r="E24" s="39">
        <f>D24*CoefFiscal</f>
        <v/>
      </c>
      <c r="F24" s="39">
        <f>IF(B24="",0,SUMIFS(AV_Taxable757,AV_BenefNom,B24))</f>
        <v/>
      </c>
      <c r="G24" s="39">
        <f>E24+F24</f>
        <v/>
      </c>
      <c r="H24" s="39">
        <f>IF(G24=0,0,IFERROR(INDEX(AbatMontant,MATCH(C24,AbatLien,0)),0))</f>
        <v/>
      </c>
      <c r="I24" s="39">
        <f>IF(AND(G24&gt;0,INDEX(HerHandicap,14)="Oui"),AbatHandicap,0)</f>
        <v/>
      </c>
      <c r="J24" s="39">
        <f>IF(B24="",0,SUMIFS(DonAbatConso,DonNom,B24))</f>
        <v/>
      </c>
      <c r="K24" s="39">
        <f>MAX(0,H24+I24-J24)</f>
        <v/>
      </c>
      <c r="L24" s="57">
        <f>MAX(0,G24-K24)</f>
        <v/>
      </c>
      <c r="M24" s="10">
        <f>IF(C24="","",IFERROR(INDEX(AbatCat,MATCH(C24,AbatLien,0)),"Autres"))</f>
        <v/>
      </c>
      <c r="N24" s="57">
        <f>IF(OR(M24="",M24="Exonéré"),0,SUMPRODUCT((BarCat=M24)*(L24&gt;BarSeuil)*(L24-BarSeuil)*(BarTaux-BarPrev)))</f>
        <v/>
      </c>
      <c r="O24" s="40">
        <f>IF(D24+F24=0,0,N24/(D24+F24))</f>
        <v/>
      </c>
      <c r="P24" s="39">
        <f>D24-N24</f>
        <v/>
      </c>
    </row>
    <row r="25">
      <c r="B25" s="51">
        <f>IF(INDEX(HerNom,15)="","",INDEX(HerNom,15))</f>
        <v/>
      </c>
      <c r="C25" s="51">
        <f>IF(INDEX(HerPresent,15)=1,INDEX(HerLien,15),"")</f>
        <v/>
      </c>
      <c r="D25" s="56">
        <f>INDEX(HerValeur,15)</f>
        <v/>
      </c>
      <c r="E25" s="39">
        <f>D25*CoefFiscal</f>
        <v/>
      </c>
      <c r="F25" s="39">
        <f>IF(B25="",0,SUMIFS(AV_Taxable757,AV_BenefNom,B25))</f>
        <v/>
      </c>
      <c r="G25" s="39">
        <f>E25+F25</f>
        <v/>
      </c>
      <c r="H25" s="39">
        <f>IF(G25=0,0,IFERROR(INDEX(AbatMontant,MATCH(C25,AbatLien,0)),0))</f>
        <v/>
      </c>
      <c r="I25" s="39">
        <f>IF(AND(G25&gt;0,INDEX(HerHandicap,15)="Oui"),AbatHandicap,0)</f>
        <v/>
      </c>
      <c r="J25" s="39">
        <f>IF(B25="",0,SUMIFS(DonAbatConso,DonNom,B25))</f>
        <v/>
      </c>
      <c r="K25" s="39">
        <f>MAX(0,H25+I25-J25)</f>
        <v/>
      </c>
      <c r="L25" s="57">
        <f>MAX(0,G25-K25)</f>
        <v/>
      </c>
      <c r="M25" s="10">
        <f>IF(C25="","",IFERROR(INDEX(AbatCat,MATCH(C25,AbatLien,0)),"Autres"))</f>
        <v/>
      </c>
      <c r="N25" s="57">
        <f>IF(OR(M25="",M25="Exonéré"),0,SUMPRODUCT((BarCat=M25)*(L25&gt;BarSeuil)*(L25-BarSeuil)*(BarTaux-BarPrev)))</f>
        <v/>
      </c>
      <c r="O25" s="40">
        <f>IF(D25+F25=0,0,N25/(D25+F25))</f>
        <v/>
      </c>
      <c r="P25" s="39">
        <f>D25-N25</f>
        <v/>
      </c>
    </row>
    <row r="26">
      <c r="B26" s="51">
        <f>IF(INDEX(HerNom,16)="","",INDEX(HerNom,16))</f>
        <v/>
      </c>
      <c r="C26" s="51">
        <f>IF(INDEX(HerPresent,16)=1,INDEX(HerLien,16),"")</f>
        <v/>
      </c>
      <c r="D26" s="56">
        <f>INDEX(HerValeur,16)</f>
        <v/>
      </c>
      <c r="E26" s="39">
        <f>D26*CoefFiscal</f>
        <v/>
      </c>
      <c r="F26" s="39">
        <f>IF(B26="",0,SUMIFS(AV_Taxable757,AV_BenefNom,B26))</f>
        <v/>
      </c>
      <c r="G26" s="39">
        <f>E26+F26</f>
        <v/>
      </c>
      <c r="H26" s="39">
        <f>IF(G26=0,0,IFERROR(INDEX(AbatMontant,MATCH(C26,AbatLien,0)),0))</f>
        <v/>
      </c>
      <c r="I26" s="39">
        <f>IF(AND(G26&gt;0,INDEX(HerHandicap,16)="Oui"),AbatHandicap,0)</f>
        <v/>
      </c>
      <c r="J26" s="39">
        <f>IF(B26="",0,SUMIFS(DonAbatConso,DonNom,B26))</f>
        <v/>
      </c>
      <c r="K26" s="39">
        <f>MAX(0,H26+I26-J26)</f>
        <v/>
      </c>
      <c r="L26" s="57">
        <f>MAX(0,G26-K26)</f>
        <v/>
      </c>
      <c r="M26" s="10">
        <f>IF(C26="","",IFERROR(INDEX(AbatCat,MATCH(C26,AbatLien,0)),"Autres"))</f>
        <v/>
      </c>
      <c r="N26" s="57">
        <f>IF(OR(M26="",M26="Exonéré"),0,SUMPRODUCT((BarCat=M26)*(L26&gt;BarSeuil)*(L26-BarSeuil)*(BarTaux-BarPrev)))</f>
        <v/>
      </c>
      <c r="O26" s="40">
        <f>IF(D26+F26=0,0,N26/(D26+F26))</f>
        <v/>
      </c>
      <c r="P26" s="39">
        <f>D26-N26</f>
        <v/>
      </c>
    </row>
    <row r="27">
      <c r="B27" s="51">
        <f>IF(INDEX(HerNom,17)="","",INDEX(HerNom,17))</f>
        <v/>
      </c>
      <c r="C27" s="51">
        <f>IF(INDEX(HerPresent,17)=1,INDEX(HerLien,17),"")</f>
        <v/>
      </c>
      <c r="D27" s="56">
        <f>INDEX(HerValeur,17)</f>
        <v/>
      </c>
      <c r="E27" s="39">
        <f>D27*CoefFiscal</f>
        <v/>
      </c>
      <c r="F27" s="39">
        <f>IF(B27="",0,SUMIFS(AV_Taxable757,AV_BenefNom,B27))</f>
        <v/>
      </c>
      <c r="G27" s="39">
        <f>E27+F27</f>
        <v/>
      </c>
      <c r="H27" s="39">
        <f>IF(G27=0,0,IFERROR(INDEX(AbatMontant,MATCH(C27,AbatLien,0)),0))</f>
        <v/>
      </c>
      <c r="I27" s="39">
        <f>IF(AND(G27&gt;0,INDEX(HerHandicap,17)="Oui"),AbatHandicap,0)</f>
        <v/>
      </c>
      <c r="J27" s="39">
        <f>IF(B27="",0,SUMIFS(DonAbatConso,DonNom,B27))</f>
        <v/>
      </c>
      <c r="K27" s="39">
        <f>MAX(0,H27+I27-J27)</f>
        <v/>
      </c>
      <c r="L27" s="57">
        <f>MAX(0,G27-K27)</f>
        <v/>
      </c>
      <c r="M27" s="10">
        <f>IF(C27="","",IFERROR(INDEX(AbatCat,MATCH(C27,AbatLien,0)),"Autres"))</f>
        <v/>
      </c>
      <c r="N27" s="57">
        <f>IF(OR(M27="",M27="Exonéré"),0,SUMPRODUCT((BarCat=M27)*(L27&gt;BarSeuil)*(L27-BarSeuil)*(BarTaux-BarPrev)))</f>
        <v/>
      </c>
      <c r="O27" s="40">
        <f>IF(D27+F27=0,0,N27/(D27+F27))</f>
        <v/>
      </c>
      <c r="P27" s="39">
        <f>D27-N27</f>
        <v/>
      </c>
    </row>
    <row r="28">
      <c r="B28" s="51">
        <f>IF(INDEX(HerNom,18)="","",INDEX(HerNom,18))</f>
        <v/>
      </c>
      <c r="C28" s="51">
        <f>IF(INDEX(HerPresent,18)=1,INDEX(HerLien,18),"")</f>
        <v/>
      </c>
      <c r="D28" s="56">
        <f>INDEX(HerValeur,18)</f>
        <v/>
      </c>
      <c r="E28" s="39">
        <f>D28*CoefFiscal</f>
        <v/>
      </c>
      <c r="F28" s="39">
        <f>IF(B28="",0,SUMIFS(AV_Taxable757,AV_BenefNom,B28))</f>
        <v/>
      </c>
      <c r="G28" s="39">
        <f>E28+F28</f>
        <v/>
      </c>
      <c r="H28" s="39">
        <f>IF(G28=0,0,IFERROR(INDEX(AbatMontant,MATCH(C28,AbatLien,0)),0))</f>
        <v/>
      </c>
      <c r="I28" s="39">
        <f>IF(AND(G28&gt;0,INDEX(HerHandicap,18)="Oui"),AbatHandicap,0)</f>
        <v/>
      </c>
      <c r="J28" s="39">
        <f>IF(B28="",0,SUMIFS(DonAbatConso,DonNom,B28))</f>
        <v/>
      </c>
      <c r="K28" s="39">
        <f>MAX(0,H28+I28-J28)</f>
        <v/>
      </c>
      <c r="L28" s="57">
        <f>MAX(0,G28-K28)</f>
        <v/>
      </c>
      <c r="M28" s="10">
        <f>IF(C28="","",IFERROR(INDEX(AbatCat,MATCH(C28,AbatLien,0)),"Autres"))</f>
        <v/>
      </c>
      <c r="N28" s="57">
        <f>IF(OR(M28="",M28="Exonéré"),0,SUMPRODUCT((BarCat=M28)*(L28&gt;BarSeuil)*(L28-BarSeuil)*(BarTaux-BarPrev)))</f>
        <v/>
      </c>
      <c r="O28" s="40">
        <f>IF(D28+F28=0,0,N28/(D28+F28))</f>
        <v/>
      </c>
      <c r="P28" s="39">
        <f>D28-N28</f>
        <v/>
      </c>
    </row>
    <row r="29">
      <c r="B29" s="51">
        <f>IF(INDEX(HerNom,19)="","",INDEX(HerNom,19))</f>
        <v/>
      </c>
      <c r="C29" s="51">
        <f>IF(INDEX(HerPresent,19)=1,INDEX(HerLien,19),"")</f>
        <v/>
      </c>
      <c r="D29" s="56">
        <f>INDEX(HerValeur,19)</f>
        <v/>
      </c>
      <c r="E29" s="39">
        <f>D29*CoefFiscal</f>
        <v/>
      </c>
      <c r="F29" s="39">
        <f>IF(B29="",0,SUMIFS(AV_Taxable757,AV_BenefNom,B29))</f>
        <v/>
      </c>
      <c r="G29" s="39">
        <f>E29+F29</f>
        <v/>
      </c>
      <c r="H29" s="39">
        <f>IF(G29=0,0,IFERROR(INDEX(AbatMontant,MATCH(C29,AbatLien,0)),0))</f>
        <v/>
      </c>
      <c r="I29" s="39">
        <f>IF(AND(G29&gt;0,INDEX(HerHandicap,19)="Oui"),AbatHandicap,0)</f>
        <v/>
      </c>
      <c r="J29" s="39">
        <f>IF(B29="",0,SUMIFS(DonAbatConso,DonNom,B29))</f>
        <v/>
      </c>
      <c r="K29" s="39">
        <f>MAX(0,H29+I29-J29)</f>
        <v/>
      </c>
      <c r="L29" s="57">
        <f>MAX(0,G29-K29)</f>
        <v/>
      </c>
      <c r="M29" s="10">
        <f>IF(C29="","",IFERROR(INDEX(AbatCat,MATCH(C29,AbatLien,0)),"Autres"))</f>
        <v/>
      </c>
      <c r="N29" s="57">
        <f>IF(OR(M29="",M29="Exonéré"),0,SUMPRODUCT((BarCat=M29)*(L29&gt;BarSeuil)*(L29-BarSeuil)*(BarTaux-BarPrev)))</f>
        <v/>
      </c>
      <c r="O29" s="40">
        <f>IF(D29+F29=0,0,N29/(D29+F29))</f>
        <v/>
      </c>
      <c r="P29" s="39">
        <f>D29-N29</f>
        <v/>
      </c>
    </row>
    <row r="30">
      <c r="B30" s="51">
        <f>IF(INDEX(HerNom,20)="","",INDEX(HerNom,20))</f>
        <v/>
      </c>
      <c r="C30" s="51">
        <f>IF(INDEX(HerPresent,20)=1,INDEX(HerLien,20),"")</f>
        <v/>
      </c>
      <c r="D30" s="56">
        <f>INDEX(HerValeur,20)</f>
        <v/>
      </c>
      <c r="E30" s="39">
        <f>D30*CoefFiscal</f>
        <v/>
      </c>
      <c r="F30" s="39">
        <f>IF(B30="",0,SUMIFS(AV_Taxable757,AV_BenefNom,B30))</f>
        <v/>
      </c>
      <c r="G30" s="39">
        <f>E30+F30</f>
        <v/>
      </c>
      <c r="H30" s="39">
        <f>IF(G30=0,0,IFERROR(INDEX(AbatMontant,MATCH(C30,AbatLien,0)),0))</f>
        <v/>
      </c>
      <c r="I30" s="39">
        <f>IF(AND(G30&gt;0,INDEX(HerHandicap,20)="Oui"),AbatHandicap,0)</f>
        <v/>
      </c>
      <c r="J30" s="39">
        <f>IF(B30="",0,SUMIFS(DonAbatConso,DonNom,B30))</f>
        <v/>
      </c>
      <c r="K30" s="39">
        <f>MAX(0,H30+I30-J30)</f>
        <v/>
      </c>
      <c r="L30" s="57">
        <f>MAX(0,G30-K30)</f>
        <v/>
      </c>
      <c r="M30" s="10">
        <f>IF(C30="","",IFERROR(INDEX(AbatCat,MATCH(C30,AbatLien,0)),"Autres"))</f>
        <v/>
      </c>
      <c r="N30" s="57">
        <f>IF(OR(M30="",M30="Exonéré"),0,SUMPRODUCT((BarCat=M30)*(L30&gt;BarSeuil)*(L30-BarSeuil)*(BarTaux-BarPrev)))</f>
        <v/>
      </c>
      <c r="O30" s="40">
        <f>IF(D30+F30=0,0,N30/(D30+F30))</f>
        <v/>
      </c>
      <c r="P30" s="39">
        <f>D30-N30</f>
        <v/>
      </c>
    </row>
    <row r="31">
      <c r="B31" s="17" t="inlineStr">
        <is>
          <t>TOTAUX</t>
        </is>
      </c>
      <c r="D31" s="41">
        <f>SUM(D11:D30)</f>
        <v/>
      </c>
      <c r="E31" s="41">
        <f>SUM(E11:E30)</f>
        <v/>
      </c>
      <c r="F31" s="41">
        <f>SUM(F11:F30)</f>
        <v/>
      </c>
      <c r="L31" s="41">
        <f>SUM(L11:L30)</f>
        <v/>
      </c>
      <c r="N31" s="42">
        <f>SUM(N11:N30)</f>
        <v/>
      </c>
      <c r="P31" s="41">
        <f>SUM(P11:P30)</f>
        <v/>
      </c>
    </row>
    <row r="33" ht="20" customHeight="1">
      <c r="A33" s="4" t="inlineStr">
        <is>
          <t>3.  SYNTHÈSE DU COÛT DE LA TRANSMISSION</t>
        </is>
      </c>
      <c r="B33" s="5" t="n"/>
      <c r="C33" s="5" t="n"/>
      <c r="D33" s="5" t="n"/>
      <c r="E33" s="5" t="n"/>
      <c r="F33" s="5" t="n"/>
      <c r="G33" s="5" t="n"/>
      <c r="H33" s="5" t="n"/>
      <c r="I33" s="5" t="n"/>
      <c r="J33" s="5" t="n"/>
      <c r="K33" s="5" t="n"/>
      <c r="L33" s="5" t="n"/>
      <c r="M33" s="5" t="n"/>
      <c r="N33" s="5" t="n"/>
      <c r="O33" s="5" t="n"/>
      <c r="P33" s="5" t="n"/>
    </row>
    <row r="34">
      <c r="B34" s="17" t="inlineStr">
        <is>
          <t>Droits de succession dus (hors assurance-vie art. 990 I)</t>
        </is>
      </c>
      <c r="D34" s="42">
        <f>TotalDroits</f>
        <v/>
      </c>
    </row>
    <row r="35">
      <c r="B35" s="9" t="inlineStr">
        <is>
          <t>Prélèvement sur l'assurance-vie (art. 990 I)</t>
        </is>
      </c>
      <c r="D35" s="56">
        <f>AV_Prelevement990</f>
        <v/>
      </c>
    </row>
    <row r="36">
      <c r="B36" s="17" t="inlineStr">
        <is>
          <t>COÛT TOTAL DE LA TRANSMISSION</t>
        </is>
      </c>
      <c r="D36" s="42">
        <f>TotalDroits+AV_Prelevement990</f>
        <v/>
      </c>
    </row>
    <row r="37">
      <c r="B37" s="9" t="inlineStr">
        <is>
          <t>Patrimoine transmis (succession + assurance-vie)</t>
        </is>
      </c>
      <c r="D37" s="56">
        <f>MasseCivile+AV_CapitalTotal</f>
        <v/>
      </c>
    </row>
    <row r="38">
      <c r="B38" s="17" t="inlineStr">
        <is>
          <t>Taux de frottement fiscal global</t>
        </is>
      </c>
      <c r="D38" s="34">
        <f>IF(PatrimoineTransmis=0,0,CoutTransmission/PatrimoineTransmis)</f>
        <v/>
      </c>
    </row>
    <row r="40" ht="20" customHeight="1">
      <c r="A40" s="4" t="inlineStr">
        <is>
          <t>4.  COMPARATIF DES OPTIONS DU CONJOINT — IMPACT SUR LES DROITS DES ENFANTS</t>
        </is>
      </c>
      <c r="B40" s="5" t="n"/>
      <c r="C40" s="5" t="n"/>
      <c r="D40" s="5" t="n"/>
      <c r="E40" s="5" t="n"/>
      <c r="F40" s="5" t="n"/>
      <c r="G40" s="5" t="n"/>
      <c r="H40" s="5" t="n"/>
      <c r="I40" s="5" t="n"/>
      <c r="J40" s="5" t="n"/>
      <c r="K40" s="5" t="n"/>
      <c r="L40" s="5" t="n"/>
      <c r="M40" s="5" t="n"/>
      <c r="N40" s="5" t="n"/>
      <c r="O40" s="5" t="n"/>
      <c r="P40" s="5" t="n"/>
    </row>
    <row r="41">
      <c r="B41" s="58" t="inlineStr">
        <is>
          <t>À situation patrimoniale identique, le choix du conjoint entre pleine propriété et usufruit change la base taxable des enfants. Le comparatif ci-dessous recalcule les droits pour chacune des options.</t>
        </is>
      </c>
    </row>
    <row r="42" ht="28" customHeight="1">
      <c r="B42" s="14" t="inlineStr">
        <is>
          <t>Enfant</t>
        </is>
      </c>
      <c r="C42" s="14" t="inlineStr">
        <is>
          <t>Abattement net disponible (€)</t>
        </is>
      </c>
      <c r="D42" s="14" t="inlineStr">
        <is>
          <t>Option A — conjoint 1/4 en PP</t>
        </is>
      </c>
      <c r="E42" s="14" t="inlineStr"/>
      <c r="F42" s="14" t="inlineStr">
        <is>
          <t>Option B — conjoint 100 % en usufruit</t>
        </is>
      </c>
      <c r="G42" s="14" t="inlineStr"/>
      <c r="H42" s="14" t="inlineStr">
        <is>
          <t>Option C — conjoint 1/4 PP + 3/4 US</t>
        </is>
      </c>
      <c r="I42" s="14" t="inlineStr"/>
    </row>
    <row r="43" ht="28" customHeight="1">
      <c r="D43" s="14" t="inlineStr">
        <is>
          <t>Part taxable (€)</t>
        </is>
      </c>
      <c r="E43" s="14" t="inlineStr">
        <is>
          <t>Droits (€)</t>
        </is>
      </c>
      <c r="F43" s="14" t="inlineStr">
        <is>
          <t>Part taxable (€)</t>
        </is>
      </c>
      <c r="G43" s="14" t="inlineStr">
        <is>
          <t>Droits (€)</t>
        </is>
      </c>
      <c r="H43" s="14" t="inlineStr">
        <is>
          <t>Part taxable (€)</t>
        </is>
      </c>
      <c r="I43" s="14" t="inlineStr">
        <is>
          <t>Droits (€)</t>
        </is>
      </c>
    </row>
    <row r="44">
      <c r="B44" s="51">
        <f>IF(INDEX(HerNom,2)="","",INDEX(HerNom,2))</f>
        <v/>
      </c>
      <c r="C44" s="56">
        <f>K12</f>
        <v/>
      </c>
      <c r="D44" s="39">
        <f>IF(OR(NbEnfDefunt=0,INDEX(HerPresent,2)=0),0,MasseDevolution*CoefFiscal*0.75/NbEnfDefunt)</f>
        <v/>
      </c>
      <c r="E44" s="39">
        <f>SUMPRODUCT((BarCat="Ligne directe")*(MAX(0,D44-C44)&gt;BarSeuil)*(MAX(0,D44-C44)-BarSeuil)*(BarTaux-BarPrev))</f>
        <v/>
      </c>
      <c r="F44" s="39">
        <f>IF(OR(NbEnfDefunt=0,INDEX(HerPresent,2)=0),0,MasseDevolution*CoefFiscal*(1-TauxUsufruit)/NbEnfDefunt)</f>
        <v/>
      </c>
      <c r="G44" s="39">
        <f>SUMPRODUCT((BarCat="Ligne directe")*(MAX(0,F44-C44)&gt;BarSeuil)*(MAX(0,F44-C44)-BarSeuil)*(BarTaux-BarPrev))</f>
        <v/>
      </c>
      <c r="H44" s="39">
        <f>IF(OR(NbEnfDefunt=0,INDEX(HerPresent,2)=0),0,MasseDevolution*CoefFiscal*0.75*(1-TauxUsufruit)/NbEnfDefunt)</f>
        <v/>
      </c>
      <c r="I44" s="39">
        <f>SUMPRODUCT((BarCat="Ligne directe")*(MAX(0,H44-C44)&gt;BarSeuil)*(MAX(0,H44-C44)-BarSeuil)*(BarTaux-BarPrev))</f>
        <v/>
      </c>
    </row>
    <row r="45">
      <c r="B45" s="51">
        <f>IF(INDEX(HerNom,3)="","",INDEX(HerNom,3))</f>
        <v/>
      </c>
      <c r="C45" s="56">
        <f>K13</f>
        <v/>
      </c>
      <c r="D45" s="39">
        <f>IF(OR(NbEnfDefunt=0,INDEX(HerPresent,3)=0),0,MasseDevolution*CoefFiscal*0.75/NbEnfDefunt)</f>
        <v/>
      </c>
      <c r="E45" s="39">
        <f>SUMPRODUCT((BarCat="Ligne directe")*(MAX(0,D45-C45)&gt;BarSeuil)*(MAX(0,D45-C45)-BarSeuil)*(BarTaux-BarPrev))</f>
        <v/>
      </c>
      <c r="F45" s="39">
        <f>IF(OR(NbEnfDefunt=0,INDEX(HerPresent,3)=0),0,MasseDevolution*CoefFiscal*(1-TauxUsufruit)/NbEnfDefunt)</f>
        <v/>
      </c>
      <c r="G45" s="39">
        <f>SUMPRODUCT((BarCat="Ligne directe")*(MAX(0,F45-C45)&gt;BarSeuil)*(MAX(0,F45-C45)-BarSeuil)*(BarTaux-BarPrev))</f>
        <v/>
      </c>
      <c r="H45" s="39">
        <f>IF(OR(NbEnfDefunt=0,INDEX(HerPresent,3)=0),0,MasseDevolution*CoefFiscal*0.75*(1-TauxUsufruit)/NbEnfDefunt)</f>
        <v/>
      </c>
      <c r="I45" s="39">
        <f>SUMPRODUCT((BarCat="Ligne directe")*(MAX(0,H45-C45)&gt;BarSeuil)*(MAX(0,H45-C45)-BarSeuil)*(BarTaux-BarPrev))</f>
        <v/>
      </c>
    </row>
    <row r="46">
      <c r="B46" s="51">
        <f>IF(INDEX(HerNom,4)="","",INDEX(HerNom,4))</f>
        <v/>
      </c>
      <c r="C46" s="56">
        <f>K14</f>
        <v/>
      </c>
      <c r="D46" s="39">
        <f>IF(OR(NbEnfDefunt=0,INDEX(HerPresent,4)=0),0,MasseDevolution*CoefFiscal*0.75/NbEnfDefunt)</f>
        <v/>
      </c>
      <c r="E46" s="39">
        <f>SUMPRODUCT((BarCat="Ligne directe")*(MAX(0,D46-C46)&gt;BarSeuil)*(MAX(0,D46-C46)-BarSeuil)*(BarTaux-BarPrev))</f>
        <v/>
      </c>
      <c r="F46" s="39">
        <f>IF(OR(NbEnfDefunt=0,INDEX(HerPresent,4)=0),0,MasseDevolution*CoefFiscal*(1-TauxUsufruit)/NbEnfDefunt)</f>
        <v/>
      </c>
      <c r="G46" s="39">
        <f>SUMPRODUCT((BarCat="Ligne directe")*(MAX(0,F46-C46)&gt;BarSeuil)*(MAX(0,F46-C46)-BarSeuil)*(BarTaux-BarPrev))</f>
        <v/>
      </c>
      <c r="H46" s="39">
        <f>IF(OR(NbEnfDefunt=0,INDEX(HerPresent,4)=0),0,MasseDevolution*CoefFiscal*0.75*(1-TauxUsufruit)/NbEnfDefunt)</f>
        <v/>
      </c>
      <c r="I46" s="39">
        <f>SUMPRODUCT((BarCat="Ligne directe")*(MAX(0,H46-C46)&gt;BarSeuil)*(MAX(0,H46-C46)-BarSeuil)*(BarTaux-BarPrev))</f>
        <v/>
      </c>
    </row>
    <row r="47">
      <c r="B47" s="51">
        <f>IF(INDEX(HerNom,5)="","",INDEX(HerNom,5))</f>
        <v/>
      </c>
      <c r="C47" s="56">
        <f>K15</f>
        <v/>
      </c>
      <c r="D47" s="39">
        <f>IF(OR(NbEnfDefunt=0,INDEX(HerPresent,5)=0),0,MasseDevolution*CoefFiscal*0.75/NbEnfDefunt)</f>
        <v/>
      </c>
      <c r="E47" s="39">
        <f>SUMPRODUCT((BarCat="Ligne directe")*(MAX(0,D47-C47)&gt;BarSeuil)*(MAX(0,D47-C47)-BarSeuil)*(BarTaux-BarPrev))</f>
        <v/>
      </c>
      <c r="F47" s="39">
        <f>IF(OR(NbEnfDefunt=0,INDEX(HerPresent,5)=0),0,MasseDevolution*CoefFiscal*(1-TauxUsufruit)/NbEnfDefunt)</f>
        <v/>
      </c>
      <c r="G47" s="39">
        <f>SUMPRODUCT((BarCat="Ligne directe")*(MAX(0,F47-C47)&gt;BarSeuil)*(MAX(0,F47-C47)-BarSeuil)*(BarTaux-BarPrev))</f>
        <v/>
      </c>
      <c r="H47" s="39">
        <f>IF(OR(NbEnfDefunt=0,INDEX(HerPresent,5)=0),0,MasseDevolution*CoefFiscal*0.75*(1-TauxUsufruit)/NbEnfDefunt)</f>
        <v/>
      </c>
      <c r="I47" s="39">
        <f>SUMPRODUCT((BarCat="Ligne directe")*(MAX(0,H47-C47)&gt;BarSeuil)*(MAX(0,H47-C47)-BarSeuil)*(BarTaux-BarPrev))</f>
        <v/>
      </c>
    </row>
    <row r="48">
      <c r="B48" s="51">
        <f>IF(INDEX(HerNom,6)="","",INDEX(HerNom,6))</f>
        <v/>
      </c>
      <c r="C48" s="56">
        <f>K16</f>
        <v/>
      </c>
      <c r="D48" s="39">
        <f>IF(OR(NbEnfDefunt=0,INDEX(HerPresent,6)=0),0,MasseDevolution*CoefFiscal*0.75/NbEnfDefunt)</f>
        <v/>
      </c>
      <c r="E48" s="39">
        <f>SUMPRODUCT((BarCat="Ligne directe")*(MAX(0,D48-C48)&gt;BarSeuil)*(MAX(0,D48-C48)-BarSeuil)*(BarTaux-BarPrev))</f>
        <v/>
      </c>
      <c r="F48" s="39">
        <f>IF(OR(NbEnfDefunt=0,INDEX(HerPresent,6)=0),0,MasseDevolution*CoefFiscal*(1-TauxUsufruit)/NbEnfDefunt)</f>
        <v/>
      </c>
      <c r="G48" s="39">
        <f>SUMPRODUCT((BarCat="Ligne directe")*(MAX(0,F48-C48)&gt;BarSeuil)*(MAX(0,F48-C48)-BarSeuil)*(BarTaux-BarPrev))</f>
        <v/>
      </c>
      <c r="H48" s="39">
        <f>IF(OR(NbEnfDefunt=0,INDEX(HerPresent,6)=0),0,MasseDevolution*CoefFiscal*0.75*(1-TauxUsufruit)/NbEnfDefunt)</f>
        <v/>
      </c>
      <c r="I48" s="39">
        <f>SUMPRODUCT((BarCat="Ligne directe")*(MAX(0,H48-C48)&gt;BarSeuil)*(MAX(0,H48-C48)-BarSeuil)*(BarTaux-BarPrev))</f>
        <v/>
      </c>
    </row>
    <row r="49">
      <c r="B49" s="51">
        <f>IF(INDEX(HerNom,7)="","",INDEX(HerNom,7))</f>
        <v/>
      </c>
      <c r="C49" s="56">
        <f>K17</f>
        <v/>
      </c>
      <c r="D49" s="39">
        <f>IF(OR(NbEnfDefunt=0,INDEX(HerPresent,7)=0),0,MasseDevolution*CoefFiscal*0.75/NbEnfDefunt)</f>
        <v/>
      </c>
      <c r="E49" s="39">
        <f>SUMPRODUCT((BarCat="Ligne directe")*(MAX(0,D49-C49)&gt;BarSeuil)*(MAX(0,D49-C49)-BarSeuil)*(BarTaux-BarPrev))</f>
        <v/>
      </c>
      <c r="F49" s="39">
        <f>IF(OR(NbEnfDefunt=0,INDEX(HerPresent,7)=0),0,MasseDevolution*CoefFiscal*(1-TauxUsufruit)/NbEnfDefunt)</f>
        <v/>
      </c>
      <c r="G49" s="39">
        <f>SUMPRODUCT((BarCat="Ligne directe")*(MAX(0,F49-C49)&gt;BarSeuil)*(MAX(0,F49-C49)-BarSeuil)*(BarTaux-BarPrev))</f>
        <v/>
      </c>
      <c r="H49" s="39">
        <f>IF(OR(NbEnfDefunt=0,INDEX(HerPresent,7)=0),0,MasseDevolution*CoefFiscal*0.75*(1-TauxUsufruit)/NbEnfDefunt)</f>
        <v/>
      </c>
      <c r="I49" s="39">
        <f>SUMPRODUCT((BarCat="Ligne directe")*(MAX(0,H49-C49)&gt;BarSeuil)*(MAX(0,H49-C49)-BarSeuil)*(BarTaux-BarPrev))</f>
        <v/>
      </c>
    </row>
    <row r="50">
      <c r="B50" s="51">
        <f>IF(INDEX(HerNom,8)="","",INDEX(HerNom,8))</f>
        <v/>
      </c>
      <c r="C50" s="56">
        <f>K18</f>
        <v/>
      </c>
      <c r="D50" s="39">
        <f>IF(OR(NbEnfDefunt=0,INDEX(HerPresent,8)=0),0,MasseDevolution*CoefFiscal*0.75/NbEnfDefunt)</f>
        <v/>
      </c>
      <c r="E50" s="39">
        <f>SUMPRODUCT((BarCat="Ligne directe")*(MAX(0,D50-C50)&gt;BarSeuil)*(MAX(0,D50-C50)-BarSeuil)*(BarTaux-BarPrev))</f>
        <v/>
      </c>
      <c r="F50" s="39">
        <f>IF(OR(NbEnfDefunt=0,INDEX(HerPresent,8)=0),0,MasseDevolution*CoefFiscal*(1-TauxUsufruit)/NbEnfDefunt)</f>
        <v/>
      </c>
      <c r="G50" s="39">
        <f>SUMPRODUCT((BarCat="Ligne directe")*(MAX(0,F50-C50)&gt;BarSeuil)*(MAX(0,F50-C50)-BarSeuil)*(BarTaux-BarPrev))</f>
        <v/>
      </c>
      <c r="H50" s="39">
        <f>IF(OR(NbEnfDefunt=0,INDEX(HerPresent,8)=0),0,MasseDevolution*CoefFiscal*0.75*(1-TauxUsufruit)/NbEnfDefunt)</f>
        <v/>
      </c>
      <c r="I50" s="39">
        <f>SUMPRODUCT((BarCat="Ligne directe")*(MAX(0,H50-C50)&gt;BarSeuil)*(MAX(0,H50-C50)-BarSeuil)*(BarTaux-BarPrev))</f>
        <v/>
      </c>
    </row>
    <row r="51">
      <c r="B51" s="51">
        <f>IF(INDEX(HerNom,9)="","",INDEX(HerNom,9))</f>
        <v/>
      </c>
      <c r="C51" s="56">
        <f>K19</f>
        <v/>
      </c>
      <c r="D51" s="39">
        <f>IF(OR(NbEnfDefunt=0,INDEX(HerPresent,9)=0),0,MasseDevolution*CoefFiscal*0.75/NbEnfDefunt)</f>
        <v/>
      </c>
      <c r="E51" s="39">
        <f>SUMPRODUCT((BarCat="Ligne directe")*(MAX(0,D51-C51)&gt;BarSeuil)*(MAX(0,D51-C51)-BarSeuil)*(BarTaux-BarPrev))</f>
        <v/>
      </c>
      <c r="F51" s="39">
        <f>IF(OR(NbEnfDefunt=0,INDEX(HerPresent,9)=0),0,MasseDevolution*CoefFiscal*(1-TauxUsufruit)/NbEnfDefunt)</f>
        <v/>
      </c>
      <c r="G51" s="39">
        <f>SUMPRODUCT((BarCat="Ligne directe")*(MAX(0,F51-C51)&gt;BarSeuil)*(MAX(0,F51-C51)-BarSeuil)*(BarTaux-BarPrev))</f>
        <v/>
      </c>
      <c r="H51" s="39">
        <f>IF(OR(NbEnfDefunt=0,INDEX(HerPresent,9)=0),0,MasseDevolution*CoefFiscal*0.75*(1-TauxUsufruit)/NbEnfDefunt)</f>
        <v/>
      </c>
      <c r="I51" s="39">
        <f>SUMPRODUCT((BarCat="Ligne directe")*(MAX(0,H51-C51)&gt;BarSeuil)*(MAX(0,H51-C51)-BarSeuil)*(BarTaux-BarPrev))</f>
        <v/>
      </c>
    </row>
    <row r="52">
      <c r="B52" s="17" t="inlineStr">
        <is>
          <t>TOTAL DES DROITS PAYÉS PAR LES ENFANTS</t>
        </is>
      </c>
      <c r="E52" s="42">
        <f>SUM(E44:E51)</f>
        <v/>
      </c>
      <c r="G52" s="42">
        <f>SUM(G44:G51)</f>
        <v/>
      </c>
      <c r="I52" s="42">
        <f>SUM(I44:I51)</f>
        <v/>
      </c>
    </row>
    <row r="53">
      <c r="B53" s="24" t="inlineStr">
        <is>
          <t>Économie par rapport à l'option A</t>
        </is>
      </c>
      <c r="G53" s="53">
        <f>CmpOptionA-CmpOptionB</f>
        <v/>
      </c>
      <c r="I53" s="53">
        <f>CmpOptionA-CmpOptionC</f>
        <v/>
      </c>
    </row>
    <row r="54">
      <c r="B54" s="24" t="inlineStr">
        <is>
          <t>Valeur transmise au conjoint</t>
        </is>
      </c>
      <c r="E54" s="48">
        <f>MasseDevolution*0.25</f>
        <v/>
      </c>
      <c r="G54" s="48">
        <f>MasseDevolution*TauxUsufruit</f>
        <v/>
      </c>
      <c r="I54" s="48">
        <f>MasseDevolution*(0.25+0.75*TauxUsufruit)</f>
        <v/>
      </c>
    </row>
    <row r="56" ht="30" customHeight="1">
      <c r="B56" s="58" t="inlineStr">
        <is>
          <t>Lecture : l'usufruit protège le conjoint (il conserve la jouissance et les revenus de la totalité des biens) et réduit immédiatement la base taxable des enfants, qui ne recueillent que la nue-propriété. À l'extinction de l'usufruit, ils deviennent pleins propriétaires SANS aucun droit supplémentaire (art. 1133 CGI). En contrepartie, les enfants ne disposent pas des biens du vivant du conjoint.</t>
        </is>
      </c>
    </row>
    <row r="57">
      <c r="B57" s="21" t="inlineStr">
        <is>
          <t>Le comparatif suppose une DDV permettant les options B et C ; il ignore les legs et les primes d'assurance-vie soumises à l'article 757 B.</t>
        </is>
      </c>
    </row>
  </sheetData>
  <printOptions horizontalCentered="1"/>
  <pageMargins left="0.75" right="0.75" top="1" bottom="1" header="0.5" footer="0.5"/>
  <pageSetup orientation="landscape" fitToHeight="0" fitToWidth="1"/>
</worksheet>
</file>

<file path=xl/worksheets/sheet6.xml><?xml version="1.0" encoding="utf-8"?>
<worksheet xmlns="http://schemas.openxmlformats.org/spreadsheetml/2006/main">
  <sheetPr>
    <tabColor rgb="007030A0"/>
    <outlinePr summaryBelow="1" summaryRight="1"/>
    <pageSetUpPr fitToPage="1"/>
  </sheetPr>
  <dimension ref="A1:N50"/>
  <sheetViews>
    <sheetView showGridLines="0" zoomScale="85" workbookViewId="0">
      <pane ySplit="5" topLeftCell="A6" activePane="bottomLeft" state="frozen"/>
      <selection pane="bottomLeft" activeCell="A1" sqref="A1"/>
    </sheetView>
  </sheetViews>
  <sheetFormatPr baseColWidth="8" defaultRowHeight="15"/>
  <cols>
    <col width="2" customWidth="1" min="1" max="1"/>
    <col width="30" customWidth="1" min="2" max="2"/>
    <col width="24" customWidth="1" min="3" max="3"/>
    <col width="18" customWidth="1" min="4" max="4"/>
    <col width="18" customWidth="1" min="5" max="5"/>
    <col width="18" customWidth="1" min="6" max="6"/>
    <col width="19" customWidth="1" min="7" max="7"/>
    <col width="19" customWidth="1" min="8" max="8"/>
    <col width="18" customWidth="1" min="9" max="9"/>
    <col width="19" customWidth="1" min="10" max="10"/>
    <col width="19" customWidth="1" min="11" max="11"/>
    <col width="18" customWidth="1" min="12" max="12"/>
    <col width="18" customWidth="1" min="13" max="13"/>
    <col width="18" customWidth="1" min="14" max="14"/>
    <col width="4" customWidth="1" min="15" max="15"/>
    <col width="55" customWidth="1" min="16" max="16"/>
  </cols>
  <sheetData>
    <row r="1" ht="30" customHeight="1">
      <c r="A1" s="1" t="inlineStr">
        <is>
          <t>ASSURANCE-VIE — CAPITAUX DÉCÈS ET FISCALITÉ</t>
        </is>
      </c>
      <c r="B1" s="2" t="n"/>
      <c r="C1" s="2" t="n"/>
      <c r="D1" s="2" t="n"/>
      <c r="E1" s="2" t="n"/>
      <c r="F1" s="2" t="n"/>
      <c r="G1" s="2" t="n"/>
      <c r="H1" s="2" t="n"/>
      <c r="I1" s="2" t="n"/>
      <c r="J1" s="2" t="n"/>
      <c r="K1" s="2" t="n"/>
      <c r="L1" s="2" t="n"/>
      <c r="M1" s="2" t="n"/>
      <c r="N1" s="2" t="n"/>
    </row>
    <row r="2" ht="14" customHeight="1">
      <c r="A2" s="3" t="inlineStr">
        <is>
          <t>Hors succession civile (art. L.132-12 C. assur.). Fiscalité propre : prélèvement de l'art. 990 I pour les primes versées avant 70 ans, droits de succession de l'art. 757 B pour les primes versées après 70 ans.</t>
        </is>
      </c>
    </row>
    <row r="4" ht="20" customHeight="1">
      <c r="A4" s="4" t="inlineStr">
        <is>
          <t>1.  CONTRATS D'ASSURANCE-VIE DU FOYER</t>
        </is>
      </c>
      <c r="B4" s="5" t="n"/>
      <c r="C4" s="5" t="n"/>
      <c r="D4" s="5" t="n"/>
      <c r="E4" s="5" t="n"/>
      <c r="F4" s="5" t="n"/>
      <c r="G4" s="5" t="n"/>
      <c r="H4" s="5" t="n"/>
      <c r="I4" s="5" t="n"/>
      <c r="J4" s="5" t="n"/>
      <c r="K4" s="5" t="n"/>
      <c r="L4" s="5" t="n"/>
      <c r="M4" s="5" t="n"/>
      <c r="N4" s="5" t="n"/>
    </row>
    <row r="5" ht="28" customHeight="1">
      <c r="B5" s="14" t="inlineStr">
        <is>
          <t>Nom du contrat</t>
        </is>
      </c>
      <c r="C5" s="14" t="inlineStr">
        <is>
          <t>Compagnie</t>
        </is>
      </c>
      <c r="D5" s="14" t="inlineStr">
        <is>
          <t>Souscripteur</t>
        </is>
      </c>
      <c r="E5" s="14" t="inlineStr">
        <is>
          <t>Valeur de rachat (€)</t>
        </is>
      </c>
      <c r="F5" s="14" t="inlineStr">
        <is>
          <t>Capital décès (€)</t>
        </is>
      </c>
      <c r="G5" s="14" t="inlineStr">
        <is>
          <t>Primes versées AVANT 70 ans (€)</t>
        </is>
      </c>
      <c r="H5" s="14" t="inlineStr">
        <is>
          <t>Primes versées APRÈS 70 ans (€)</t>
        </is>
      </c>
      <c r="I5" s="14" t="inlineStr">
        <is>
          <t>Total des primes (€)</t>
        </is>
      </c>
      <c r="J5" s="14" t="inlineStr">
        <is>
          <t>Capital rattaché aux primes &lt; 70 ans (€)</t>
        </is>
      </c>
      <c r="K5" s="14" t="inlineStr">
        <is>
          <t>Capital rattaché aux primes &gt; 70 ans (€)</t>
        </is>
      </c>
      <c r="L5" s="14" t="inlineStr">
        <is>
          <t>Dénoué par le décès simulé</t>
        </is>
      </c>
      <c r="M5" s="14" t="inlineStr">
        <is>
          <t>Total des quotes-parts des clauses</t>
        </is>
      </c>
      <c r="N5" s="14" t="inlineStr">
        <is>
          <t>Contrôle</t>
        </is>
      </c>
    </row>
    <row r="6">
      <c r="B6" s="23" t="inlineStr">
        <is>
          <t>Multisupport Sérénité</t>
        </is>
      </c>
      <c r="C6" s="23" t="inlineStr">
        <is>
          <t>Assureur A</t>
        </is>
      </c>
      <c r="D6" s="8" t="inlineStr">
        <is>
          <t>Client</t>
        </is>
      </c>
      <c r="E6" s="37" t="n">
        <v>520000</v>
      </c>
      <c r="F6" s="37" t="n">
        <v>520000</v>
      </c>
      <c r="G6" s="37" t="n">
        <v>330000</v>
      </c>
      <c r="H6" s="37" t="n">
        <v>0</v>
      </c>
      <c r="I6" s="39">
        <f>G6+H6</f>
        <v/>
      </c>
      <c r="J6" s="39">
        <f>IF(I6=0,0,F6*G6/I6)</f>
        <v/>
      </c>
      <c r="K6" s="39">
        <f>F6-J6</f>
        <v/>
      </c>
      <c r="L6" s="27">
        <f>IF(AND(D6&lt;&gt;"",D6=Defunt),1,0)</f>
        <v/>
      </c>
      <c r="M6" s="40">
        <f>SUMIF(ClauseContrat,1,ClausePct)</f>
        <v/>
      </c>
      <c r="N6" s="10">
        <f>IF(F6=0,"",IF(ABS(M6-1)&gt;0.001,"⚠️ répartition ≠ 100 %","✅ 100 %"))</f>
        <v/>
      </c>
    </row>
    <row r="7">
      <c r="B7" s="23" t="inlineStr">
        <is>
          <t>Contrat Horizon</t>
        </is>
      </c>
      <c r="C7" s="23" t="inlineStr">
        <is>
          <t>Assureur B</t>
        </is>
      </c>
      <c r="D7" s="8" t="inlineStr">
        <is>
          <t>Conjoint</t>
        </is>
      </c>
      <c r="E7" s="37" t="n">
        <v>95000</v>
      </c>
      <c r="F7" s="37" t="n">
        <v>95000</v>
      </c>
      <c r="G7" s="37" t="n">
        <v>70000</v>
      </c>
      <c r="H7" s="37" t="n">
        <v>0</v>
      </c>
      <c r="I7" s="39">
        <f>G7+H7</f>
        <v/>
      </c>
      <c r="J7" s="39">
        <f>IF(I7=0,0,F7*G7/I7)</f>
        <v/>
      </c>
      <c r="K7" s="39">
        <f>F7-J7</f>
        <v/>
      </c>
      <c r="L7" s="27">
        <f>IF(AND(D7&lt;&gt;"",D7=Defunt),1,0)</f>
        <v/>
      </c>
      <c r="M7" s="40">
        <f>SUMIF(ClauseContrat,2,ClausePct)</f>
        <v/>
      </c>
      <c r="N7" s="10">
        <f>IF(F7=0,"",IF(ABS(M7-1)&gt;0.001,"⚠️ répartition ≠ 100 %","✅ 100 %"))</f>
        <v/>
      </c>
    </row>
    <row r="8">
      <c r="B8" s="23" t="n"/>
      <c r="C8" s="23" t="n"/>
      <c r="D8" s="8" t="n"/>
      <c r="E8" s="37" t="n"/>
      <c r="F8" s="37" t="n"/>
      <c r="G8" s="37" t="n"/>
      <c r="H8" s="37" t="n"/>
      <c r="I8" s="39">
        <f>G8+H8</f>
        <v/>
      </c>
      <c r="J8" s="39">
        <f>IF(I8=0,0,F8*G8/I8)</f>
        <v/>
      </c>
      <c r="K8" s="39">
        <f>F8-J8</f>
        <v/>
      </c>
      <c r="L8" s="27">
        <f>IF(AND(D8&lt;&gt;"",D8=Defunt),1,0)</f>
        <v/>
      </c>
      <c r="M8" s="40">
        <f>SUMIF(ClauseContrat,3,ClausePct)</f>
        <v/>
      </c>
      <c r="N8" s="10">
        <f>IF(F8=0,"",IF(ABS(M8-1)&gt;0.001,"⚠️ répartition ≠ 100 %","✅ 100 %"))</f>
        <v/>
      </c>
    </row>
    <row r="9">
      <c r="B9" s="23" t="n"/>
      <c r="C9" s="23" t="n"/>
      <c r="D9" s="8" t="n"/>
      <c r="E9" s="37" t="n"/>
      <c r="F9" s="37" t="n"/>
      <c r="G9" s="37" t="n"/>
      <c r="H9" s="37" t="n"/>
      <c r="I9" s="39">
        <f>G9+H9</f>
        <v/>
      </c>
      <c r="J9" s="39">
        <f>IF(I9=0,0,F9*G9/I9)</f>
        <v/>
      </c>
      <c r="K9" s="39">
        <f>F9-J9</f>
        <v/>
      </c>
      <c r="L9" s="27">
        <f>IF(AND(D9&lt;&gt;"",D9=Defunt),1,0)</f>
        <v/>
      </c>
      <c r="M9" s="40">
        <f>SUMIF(ClauseContrat,4,ClausePct)</f>
        <v/>
      </c>
      <c r="N9" s="10">
        <f>IF(F9=0,"",IF(ABS(M9-1)&gt;0.001,"⚠️ répartition ≠ 100 %","✅ 100 %"))</f>
        <v/>
      </c>
    </row>
    <row r="10">
      <c r="B10" s="23" t="n"/>
      <c r="C10" s="23" t="n"/>
      <c r="D10" s="8" t="n"/>
      <c r="E10" s="37" t="n"/>
      <c r="F10" s="37" t="n"/>
      <c r="G10" s="37" t="n"/>
      <c r="H10" s="37" t="n"/>
      <c r="I10" s="39">
        <f>G10+H10</f>
        <v/>
      </c>
      <c r="J10" s="39">
        <f>IF(I10=0,0,F10*G10/I10)</f>
        <v/>
      </c>
      <c r="K10" s="39">
        <f>F10-J10</f>
        <v/>
      </c>
      <c r="L10" s="27">
        <f>IF(AND(D10&lt;&gt;"",D10=Defunt),1,0)</f>
        <v/>
      </c>
      <c r="M10" s="40">
        <f>SUMIF(ClauseContrat,5,ClausePct)</f>
        <v/>
      </c>
      <c r="N10" s="10">
        <f>IF(F10=0,"",IF(ABS(M10-1)&gt;0.001,"⚠️ répartition ≠ 100 %","✅ 100 %"))</f>
        <v/>
      </c>
    </row>
    <row r="11">
      <c r="B11" s="23" t="n"/>
      <c r="C11" s="23" t="n"/>
      <c r="D11" s="8" t="n"/>
      <c r="E11" s="37" t="n"/>
      <c r="F11" s="37" t="n"/>
      <c r="G11" s="37" t="n"/>
      <c r="H11" s="37" t="n"/>
      <c r="I11" s="39">
        <f>G11+H11</f>
        <v/>
      </c>
      <c r="J11" s="39">
        <f>IF(I11=0,0,F11*G11/I11)</f>
        <v/>
      </c>
      <c r="K11" s="39">
        <f>F11-J11</f>
        <v/>
      </c>
      <c r="L11" s="27">
        <f>IF(AND(D11&lt;&gt;"",D11=Defunt),1,0)</f>
        <v/>
      </c>
      <c r="M11" s="40">
        <f>SUMIF(ClauseContrat,6,ClausePct)</f>
        <v/>
      </c>
      <c r="N11" s="10">
        <f>IF(F11=0,"",IF(ABS(M11-1)&gt;0.001,"⚠️ répartition ≠ 100 %","✅ 100 %"))</f>
        <v/>
      </c>
    </row>
    <row r="12">
      <c r="B12" s="17" t="inlineStr">
        <is>
          <t>TOTAUX</t>
        </is>
      </c>
      <c r="E12" s="41">
        <f>SUM(E6:E11)</f>
        <v/>
      </c>
      <c r="F12" s="41">
        <f>SUM(F6:F11)</f>
        <v/>
      </c>
      <c r="H12" s="41">
        <f>SUMPRODUCT(H6:H11,L6:L11)</f>
        <v/>
      </c>
    </row>
    <row r="13">
      <c r="B13" s="21" t="inlineStr">
        <is>
          <t>La ventilation du capital décès entre primes versées avant et après 70 ans est faite au prorata des primes. « Dénoué par le décès simulé » vaut 1 lorsque le souscripteur est le défunt retenu sur la feuille « Patrimoine ».</t>
        </is>
      </c>
    </row>
    <row r="15" ht="20" customHeight="1">
      <c r="A15" s="4" t="inlineStr">
        <is>
          <t>2.  CLAUSES BÉNÉFICIAIRES</t>
        </is>
      </c>
      <c r="B15" s="5" t="n"/>
      <c r="C15" s="5" t="n"/>
      <c r="D15" s="5" t="n"/>
      <c r="E15" s="5" t="n"/>
      <c r="F15" s="5" t="n"/>
      <c r="G15" s="5" t="n"/>
      <c r="H15" s="5" t="n"/>
      <c r="I15" s="5" t="n"/>
      <c r="J15" s="5" t="n"/>
      <c r="K15" s="5" t="n"/>
      <c r="L15" s="5" t="n"/>
      <c r="M15" s="5" t="n"/>
      <c r="N15" s="5" t="n"/>
    </row>
    <row r="16" ht="28" customHeight="1">
      <c r="B16" s="14" t="inlineStr">
        <is>
          <t>N° de contrat</t>
        </is>
      </c>
      <c r="C16" s="14" t="inlineStr">
        <is>
          <t>Bénéficiaire (prénom identique à la feuille Client)</t>
        </is>
      </c>
      <c r="D16" s="14" t="inlineStr">
        <is>
          <t>Lien avec le défunt</t>
        </is>
      </c>
      <c r="E16" s="14" t="inlineStr">
        <is>
          <t>Quote-part de la clause</t>
        </is>
      </c>
      <c r="F16" s="14" t="inlineStr">
        <is>
          <t>Capital attribué (€)</t>
        </is>
      </c>
      <c r="G16" s="14" t="inlineStr">
        <is>
          <t>dont issu de primes &lt; 70 ans (€)</t>
        </is>
      </c>
      <c r="H16" s="14" t="inlineStr">
        <is>
          <t>Primes &gt; 70 ans attribuées (€)</t>
        </is>
      </c>
    </row>
    <row r="17">
      <c r="B17" s="29" t="n">
        <v>1</v>
      </c>
      <c r="C17" s="23" t="inlineStr">
        <is>
          <t>Chloé</t>
        </is>
      </c>
      <c r="D17" s="8" t="inlineStr">
        <is>
          <t>Enfant</t>
        </is>
      </c>
      <c r="E17" s="59" t="n">
        <v>0.3333333333333333</v>
      </c>
      <c r="F17" s="39">
        <f>IFERROR(INDEX(CtrCapitalDeces,B17)*E17*INDEX(CtrDenoue,B17),0)</f>
        <v/>
      </c>
      <c r="G17" s="39">
        <f>IFERROR(INDEX(CtrCap70Moins,B17)*E17*INDEX(CtrDenoue,B17),0)</f>
        <v/>
      </c>
      <c r="H17" s="39">
        <f>IFERROR(INDEX(CtrPrimes70Plus,B17)*E17*INDEX(CtrDenoue,B17),0)</f>
        <v/>
      </c>
    </row>
    <row r="18">
      <c r="B18" s="29" t="n">
        <v>1</v>
      </c>
      <c r="C18" s="23" t="inlineStr">
        <is>
          <t>Lucas</t>
        </is>
      </c>
      <c r="D18" s="8" t="inlineStr">
        <is>
          <t>Enfant</t>
        </is>
      </c>
      <c r="E18" s="59" t="n">
        <v>0.3333333333333333</v>
      </c>
      <c r="F18" s="39">
        <f>IFERROR(INDEX(CtrCapitalDeces,B18)*E18*INDEX(CtrDenoue,B18),0)</f>
        <v/>
      </c>
      <c r="G18" s="39">
        <f>IFERROR(INDEX(CtrCap70Moins,B18)*E18*INDEX(CtrDenoue,B18),0)</f>
        <v/>
      </c>
      <c r="H18" s="39">
        <f>IFERROR(INDEX(CtrPrimes70Plus,B18)*E18*INDEX(CtrDenoue,B18),0)</f>
        <v/>
      </c>
    </row>
    <row r="19">
      <c r="B19" s="29" t="n">
        <v>1</v>
      </c>
      <c r="C19" s="23" t="inlineStr">
        <is>
          <t>Emma</t>
        </is>
      </c>
      <c r="D19" s="8" t="inlineStr">
        <is>
          <t>Enfant</t>
        </is>
      </c>
      <c r="E19" s="59" t="n">
        <v>0.3333333333333333</v>
      </c>
      <c r="F19" s="39">
        <f>IFERROR(INDEX(CtrCapitalDeces,B19)*E19*INDEX(CtrDenoue,B19),0)</f>
        <v/>
      </c>
      <c r="G19" s="39">
        <f>IFERROR(INDEX(CtrCap70Moins,B19)*E19*INDEX(CtrDenoue,B19),0)</f>
        <v/>
      </c>
      <c r="H19" s="39">
        <f>IFERROR(INDEX(CtrPrimes70Plus,B19)*E19*INDEX(CtrDenoue,B19),0)</f>
        <v/>
      </c>
    </row>
    <row r="20">
      <c r="B20" s="29" t="n">
        <v>2</v>
      </c>
      <c r="C20" s="23" t="inlineStr">
        <is>
          <t>Jean</t>
        </is>
      </c>
      <c r="D20" s="8" t="inlineStr">
        <is>
          <t>Conjoint survivant</t>
        </is>
      </c>
      <c r="E20" s="59" t="n">
        <v>1</v>
      </c>
      <c r="F20" s="39">
        <f>IFERROR(INDEX(CtrCapitalDeces,B20)*E20*INDEX(CtrDenoue,B20),0)</f>
        <v/>
      </c>
      <c r="G20" s="39">
        <f>IFERROR(INDEX(CtrCap70Moins,B20)*E20*INDEX(CtrDenoue,B20),0)</f>
        <v/>
      </c>
      <c r="H20" s="39">
        <f>IFERROR(INDEX(CtrPrimes70Plus,B20)*E20*INDEX(CtrDenoue,B20),0)</f>
        <v/>
      </c>
    </row>
    <row r="21">
      <c r="B21" s="29" t="n"/>
      <c r="C21" s="23" t="n"/>
      <c r="D21" s="8" t="n"/>
      <c r="E21" s="59" t="n"/>
      <c r="F21" s="39">
        <f>IFERROR(INDEX(CtrCapitalDeces,B21)*E21*INDEX(CtrDenoue,B21),0)</f>
        <v/>
      </c>
      <c r="G21" s="39">
        <f>IFERROR(INDEX(CtrCap70Moins,B21)*E21*INDEX(CtrDenoue,B21),0)</f>
        <v/>
      </c>
      <c r="H21" s="39">
        <f>IFERROR(INDEX(CtrPrimes70Plus,B21)*E21*INDEX(CtrDenoue,B21),0)</f>
        <v/>
      </c>
    </row>
    <row r="22">
      <c r="B22" s="29" t="n"/>
      <c r="C22" s="23" t="n"/>
      <c r="D22" s="8" t="n"/>
      <c r="E22" s="59" t="n"/>
      <c r="F22" s="39">
        <f>IFERROR(INDEX(CtrCapitalDeces,B22)*E22*INDEX(CtrDenoue,B22),0)</f>
        <v/>
      </c>
      <c r="G22" s="39">
        <f>IFERROR(INDEX(CtrCap70Moins,B22)*E22*INDEX(CtrDenoue,B22),0)</f>
        <v/>
      </c>
      <c r="H22" s="39">
        <f>IFERROR(INDEX(CtrPrimes70Plus,B22)*E22*INDEX(CtrDenoue,B22),0)</f>
        <v/>
      </c>
    </row>
    <row r="23">
      <c r="B23" s="29" t="n"/>
      <c r="C23" s="23" t="n"/>
      <c r="D23" s="8" t="n"/>
      <c r="E23" s="59" t="n"/>
      <c r="F23" s="39">
        <f>IFERROR(INDEX(CtrCapitalDeces,B23)*E23*INDEX(CtrDenoue,B23),0)</f>
        <v/>
      </c>
      <c r="G23" s="39">
        <f>IFERROR(INDEX(CtrCap70Moins,B23)*E23*INDEX(CtrDenoue,B23),0)</f>
        <v/>
      </c>
      <c r="H23" s="39">
        <f>IFERROR(INDEX(CtrPrimes70Plus,B23)*E23*INDEX(CtrDenoue,B23),0)</f>
        <v/>
      </c>
    </row>
    <row r="24">
      <c r="B24" s="29" t="n"/>
      <c r="C24" s="23" t="n"/>
      <c r="D24" s="8" t="n"/>
      <c r="E24" s="59" t="n"/>
      <c r="F24" s="39">
        <f>IFERROR(INDEX(CtrCapitalDeces,B24)*E24*INDEX(CtrDenoue,B24),0)</f>
        <v/>
      </c>
      <c r="G24" s="39">
        <f>IFERROR(INDEX(CtrCap70Moins,B24)*E24*INDEX(CtrDenoue,B24),0)</f>
        <v/>
      </c>
      <c r="H24" s="39">
        <f>IFERROR(INDEX(CtrPrimes70Plus,B24)*E24*INDEX(CtrDenoue,B24),0)</f>
        <v/>
      </c>
    </row>
    <row r="25">
      <c r="B25" s="29" t="n"/>
      <c r="C25" s="23" t="n"/>
      <c r="D25" s="8" t="n"/>
      <c r="E25" s="59" t="n"/>
      <c r="F25" s="39">
        <f>IFERROR(INDEX(CtrCapitalDeces,B25)*E25*INDEX(CtrDenoue,B25),0)</f>
        <v/>
      </c>
      <c r="G25" s="39">
        <f>IFERROR(INDEX(CtrCap70Moins,B25)*E25*INDEX(CtrDenoue,B25),0)</f>
        <v/>
      </c>
      <c r="H25" s="39">
        <f>IFERROR(INDEX(CtrPrimes70Plus,B25)*E25*INDEX(CtrDenoue,B25),0)</f>
        <v/>
      </c>
    </row>
    <row r="26">
      <c r="B26" s="29" t="n"/>
      <c r="C26" s="23" t="n"/>
      <c r="D26" s="8" t="n"/>
      <c r="E26" s="59" t="n"/>
      <c r="F26" s="39">
        <f>IFERROR(INDEX(CtrCapitalDeces,B26)*E26*INDEX(CtrDenoue,B26),0)</f>
        <v/>
      </c>
      <c r="G26" s="39">
        <f>IFERROR(INDEX(CtrCap70Moins,B26)*E26*INDEX(CtrDenoue,B26),0)</f>
        <v/>
      </c>
      <c r="H26" s="39">
        <f>IFERROR(INDEX(CtrPrimes70Plus,B26)*E26*INDEX(CtrDenoue,B26),0)</f>
        <v/>
      </c>
    </row>
    <row r="27">
      <c r="B27" s="29" t="n"/>
      <c r="C27" s="23" t="n"/>
      <c r="D27" s="8" t="n"/>
      <c r="E27" s="59" t="n"/>
      <c r="F27" s="39">
        <f>IFERROR(INDEX(CtrCapitalDeces,B27)*E27*INDEX(CtrDenoue,B27),0)</f>
        <v/>
      </c>
      <c r="G27" s="39">
        <f>IFERROR(INDEX(CtrCap70Moins,B27)*E27*INDEX(CtrDenoue,B27),0)</f>
        <v/>
      </c>
      <c r="H27" s="39">
        <f>IFERROR(INDEX(CtrPrimes70Plus,B27)*E27*INDEX(CtrDenoue,B27),0)</f>
        <v/>
      </c>
    </row>
    <row r="28">
      <c r="B28" s="29" t="n"/>
      <c r="C28" s="23" t="n"/>
      <c r="D28" s="8" t="n"/>
      <c r="E28" s="59" t="n"/>
      <c r="F28" s="39">
        <f>IFERROR(INDEX(CtrCapitalDeces,B28)*E28*INDEX(CtrDenoue,B28),0)</f>
        <v/>
      </c>
      <c r="G28" s="39">
        <f>IFERROR(INDEX(CtrCap70Moins,B28)*E28*INDEX(CtrDenoue,B28),0)</f>
        <v/>
      </c>
      <c r="H28" s="39">
        <f>IFERROR(INDEX(CtrPrimes70Plus,B28)*E28*INDEX(CtrDenoue,B28),0)</f>
        <v/>
      </c>
    </row>
    <row r="29">
      <c r="B29" s="29" t="n"/>
      <c r="C29" s="23" t="n"/>
      <c r="D29" s="8" t="n"/>
      <c r="E29" s="59" t="n"/>
      <c r="F29" s="39">
        <f>IFERROR(INDEX(CtrCapitalDeces,B29)*E29*INDEX(CtrDenoue,B29),0)</f>
        <v/>
      </c>
      <c r="G29" s="39">
        <f>IFERROR(INDEX(CtrCap70Moins,B29)*E29*INDEX(CtrDenoue,B29),0)</f>
        <v/>
      </c>
      <c r="H29" s="39">
        <f>IFERROR(INDEX(CtrPrimes70Plus,B29)*E29*INDEX(CtrDenoue,B29),0)</f>
        <v/>
      </c>
    </row>
    <row r="30">
      <c r="B30" s="29" t="n"/>
      <c r="C30" s="23" t="n"/>
      <c r="D30" s="8" t="n"/>
      <c r="E30" s="59" t="n"/>
      <c r="F30" s="39">
        <f>IFERROR(INDEX(CtrCapitalDeces,B30)*E30*INDEX(CtrDenoue,B30),0)</f>
        <v/>
      </c>
      <c r="G30" s="39">
        <f>IFERROR(INDEX(CtrCap70Moins,B30)*E30*INDEX(CtrDenoue,B30),0)</f>
        <v/>
      </c>
      <c r="H30" s="39">
        <f>IFERROR(INDEX(CtrPrimes70Plus,B30)*E30*INDEX(CtrDenoue,B30),0)</f>
        <v/>
      </c>
    </row>
    <row r="31">
      <c r="B31" s="17" t="inlineStr">
        <is>
          <t>TOTAL DES CAPITAUX TRANSMIS PAR LE DÉCÈS SIMULÉ</t>
        </is>
      </c>
      <c r="F31" s="41">
        <f>SUM(F17:F30)</f>
        <v/>
      </c>
      <c r="G31" s="41">
        <f>SUM(G17:G30)</f>
        <v/>
      </c>
      <c r="H31" s="41">
        <f>SUM(H17:H30)</f>
        <v/>
      </c>
    </row>
    <row r="32">
      <c r="B32" s="21" t="inlineStr">
        <is>
          <t>La colonne « Contrôle » du tableau des contrats (colonne N ci-dessus) vérifie que les quotes-parts de chaque clause totalisent bien 100 %.</t>
        </is>
      </c>
    </row>
    <row r="34" ht="20" customHeight="1">
      <c r="A34" s="4" t="inlineStr">
        <is>
          <t>3.  FISCALITÉ PAR BÉNÉFICIAIRE</t>
        </is>
      </c>
      <c r="B34" s="5" t="n"/>
      <c r="C34" s="5" t="n"/>
      <c r="D34" s="5" t="n"/>
      <c r="E34" s="5" t="n"/>
      <c r="F34" s="5" t="n"/>
      <c r="G34" s="5" t="n"/>
      <c r="H34" s="5" t="n"/>
      <c r="I34" s="5" t="n"/>
      <c r="J34" s="5" t="n"/>
      <c r="K34" s="5" t="n"/>
      <c r="L34" s="5" t="n"/>
      <c r="M34" s="5" t="n"/>
      <c r="N34" s="5" t="n"/>
    </row>
    <row r="35">
      <c r="B35" s="58" t="inlineStr">
        <is>
          <t>Saisissez chaque bénéficiaire UNE SEULE FOIS : les capitaux issus des différentes clauses sont agrégés automatiquement, comme le fait l'administration fiscale (abattements individuels, tous contrats confondus).</t>
        </is>
      </c>
    </row>
    <row r="36" ht="28" customHeight="1">
      <c r="B36" s="14" t="inlineStr">
        <is>
          <t>Bénéficiaire</t>
        </is>
      </c>
      <c r="C36" s="14" t="inlineStr">
        <is>
          <t>Lien avec le défunt</t>
        </is>
      </c>
      <c r="D36" s="14" t="inlineStr">
        <is>
          <t>Exonéré ?</t>
        </is>
      </c>
      <c r="E36" s="14" t="inlineStr">
        <is>
          <t>Capital issu de primes &lt; 70 ans (€)</t>
        </is>
      </c>
      <c r="F36" s="14" t="inlineStr">
        <is>
          <t>Abattement art. 990 I (€)</t>
        </is>
      </c>
      <c r="G36" s="14" t="inlineStr">
        <is>
          <t>Base taxable art. 990 I (€)</t>
        </is>
      </c>
      <c r="H36" s="14" t="inlineStr">
        <is>
          <t>PRÉLÈVEMENT ART. 990 I (€)</t>
        </is>
      </c>
      <c r="I36" s="14" t="inlineStr">
        <is>
          <t>Primes &gt; 70 ans attribuées (€)</t>
        </is>
      </c>
      <c r="J36" s="14" t="inlineStr">
        <is>
          <t>Quote-part de l'abattement de 30 500 € (€)</t>
        </is>
      </c>
      <c r="K36" s="14" t="inlineStr">
        <is>
          <t>BASE SOUMISE AUX DROITS (art. 757 B) (€)</t>
        </is>
      </c>
      <c r="L36" s="14" t="inlineStr">
        <is>
          <t>Capital total perçu (€)</t>
        </is>
      </c>
      <c r="M36" s="14" t="inlineStr">
        <is>
          <t>Net perçu après prélèvement 990 I (€)</t>
        </is>
      </c>
    </row>
    <row r="37">
      <c r="B37" s="23" t="inlineStr">
        <is>
          <t>Chloé</t>
        </is>
      </c>
      <c r="C37" s="8" t="inlineStr">
        <is>
          <t>Enfant</t>
        </is>
      </c>
      <c r="D37" s="10">
        <f>IF(B37="","",IF(IFERROR(INDEX(AbatCat,MATCH(C37,AbatLien,0)),"")="Exonéré","Oui","Non"))</f>
        <v/>
      </c>
      <c r="E37" s="39">
        <f>IF(B37="",0,SUMIFS(ClauseCap70Moins,ClauseBenef,B37))</f>
        <v/>
      </c>
      <c r="F37" s="39">
        <f>IF(D37="Oui",0,MIN(E37,AV_Abat990))</f>
        <v/>
      </c>
      <c r="G37" s="39">
        <f>IF(D37="Oui",0,MAX(0,E37-F37))</f>
        <v/>
      </c>
      <c r="H37" s="57">
        <f>MIN(G37,AV_Seuil20)*AV_Taux1+MAX(0,G37-AV_Seuil20)*AV_Taux2</f>
        <v/>
      </c>
      <c r="I37" s="39">
        <f>IF(B37="",0,SUMIFS(ClausePrimes70Plus,ClauseBenef,B37))</f>
        <v/>
      </c>
      <c r="J37" s="39">
        <f>IF(OR(D37="Oui",AV_Primes70PlusTransmises=0),0,AV_Abat757*I37/AV_Primes70PlusTransmises)</f>
        <v/>
      </c>
      <c r="K37" s="57">
        <f>IF(D37="Oui",0,MAX(0,I37-J37))</f>
        <v/>
      </c>
      <c r="L37" s="39">
        <f>IF(B37="",0,SUMIFS(ClauseCapital,ClauseBenef,B37))</f>
        <v/>
      </c>
      <c r="M37" s="39">
        <f>L37-H37</f>
        <v/>
      </c>
    </row>
    <row r="38">
      <c r="B38" s="23" t="inlineStr">
        <is>
          <t>Lucas</t>
        </is>
      </c>
      <c r="C38" s="8" t="inlineStr">
        <is>
          <t>Enfant</t>
        </is>
      </c>
      <c r="D38" s="10">
        <f>IF(B38="","",IF(IFERROR(INDEX(AbatCat,MATCH(C38,AbatLien,0)),"")="Exonéré","Oui","Non"))</f>
        <v/>
      </c>
      <c r="E38" s="39">
        <f>IF(B38="",0,SUMIFS(ClauseCap70Moins,ClauseBenef,B38))</f>
        <v/>
      </c>
      <c r="F38" s="39">
        <f>IF(D38="Oui",0,MIN(E38,AV_Abat990))</f>
        <v/>
      </c>
      <c r="G38" s="39">
        <f>IF(D38="Oui",0,MAX(0,E38-F38))</f>
        <v/>
      </c>
      <c r="H38" s="57">
        <f>MIN(G38,AV_Seuil20)*AV_Taux1+MAX(0,G38-AV_Seuil20)*AV_Taux2</f>
        <v/>
      </c>
      <c r="I38" s="39">
        <f>IF(B38="",0,SUMIFS(ClausePrimes70Plus,ClauseBenef,B38))</f>
        <v/>
      </c>
      <c r="J38" s="39">
        <f>IF(OR(D38="Oui",AV_Primes70PlusTransmises=0),0,AV_Abat757*I38/AV_Primes70PlusTransmises)</f>
        <v/>
      </c>
      <c r="K38" s="57">
        <f>IF(D38="Oui",0,MAX(0,I38-J38))</f>
        <v/>
      </c>
      <c r="L38" s="39">
        <f>IF(B38="",0,SUMIFS(ClauseCapital,ClauseBenef,B38))</f>
        <v/>
      </c>
      <c r="M38" s="39">
        <f>L38-H38</f>
        <v/>
      </c>
    </row>
    <row r="39">
      <c r="B39" s="23" t="inlineStr">
        <is>
          <t>Emma</t>
        </is>
      </c>
      <c r="C39" s="8" t="inlineStr">
        <is>
          <t>Enfant</t>
        </is>
      </c>
      <c r="D39" s="10">
        <f>IF(B39="","",IF(IFERROR(INDEX(AbatCat,MATCH(C39,AbatLien,0)),"")="Exonéré","Oui","Non"))</f>
        <v/>
      </c>
      <c r="E39" s="39">
        <f>IF(B39="",0,SUMIFS(ClauseCap70Moins,ClauseBenef,B39))</f>
        <v/>
      </c>
      <c r="F39" s="39">
        <f>IF(D39="Oui",0,MIN(E39,AV_Abat990))</f>
        <v/>
      </c>
      <c r="G39" s="39">
        <f>IF(D39="Oui",0,MAX(0,E39-F39))</f>
        <v/>
      </c>
      <c r="H39" s="57">
        <f>MIN(G39,AV_Seuil20)*AV_Taux1+MAX(0,G39-AV_Seuil20)*AV_Taux2</f>
        <v/>
      </c>
      <c r="I39" s="39">
        <f>IF(B39="",0,SUMIFS(ClausePrimes70Plus,ClauseBenef,B39))</f>
        <v/>
      </c>
      <c r="J39" s="39">
        <f>IF(OR(D39="Oui",AV_Primes70PlusTransmises=0),0,AV_Abat757*I39/AV_Primes70PlusTransmises)</f>
        <v/>
      </c>
      <c r="K39" s="57">
        <f>IF(D39="Oui",0,MAX(0,I39-J39))</f>
        <v/>
      </c>
      <c r="L39" s="39">
        <f>IF(B39="",0,SUMIFS(ClauseCapital,ClauseBenef,B39))</f>
        <v/>
      </c>
      <c r="M39" s="39">
        <f>L39-H39</f>
        <v/>
      </c>
    </row>
    <row r="40">
      <c r="B40" s="23" t="inlineStr">
        <is>
          <t>Sophie</t>
        </is>
      </c>
      <c r="C40" s="8" t="inlineStr">
        <is>
          <t>Conjoint survivant</t>
        </is>
      </c>
      <c r="D40" s="10">
        <f>IF(B40="","",IF(IFERROR(INDEX(AbatCat,MATCH(C40,AbatLien,0)),"")="Exonéré","Oui","Non"))</f>
        <v/>
      </c>
      <c r="E40" s="39">
        <f>IF(B40="",0,SUMIFS(ClauseCap70Moins,ClauseBenef,B40))</f>
        <v/>
      </c>
      <c r="F40" s="39">
        <f>IF(D40="Oui",0,MIN(E40,AV_Abat990))</f>
        <v/>
      </c>
      <c r="G40" s="39">
        <f>IF(D40="Oui",0,MAX(0,E40-F40))</f>
        <v/>
      </c>
      <c r="H40" s="57">
        <f>MIN(G40,AV_Seuil20)*AV_Taux1+MAX(0,G40-AV_Seuil20)*AV_Taux2</f>
        <v/>
      </c>
      <c r="I40" s="39">
        <f>IF(B40="",0,SUMIFS(ClausePrimes70Plus,ClauseBenef,B40))</f>
        <v/>
      </c>
      <c r="J40" s="39">
        <f>IF(OR(D40="Oui",AV_Primes70PlusTransmises=0),0,AV_Abat757*I40/AV_Primes70PlusTransmises)</f>
        <v/>
      </c>
      <c r="K40" s="57">
        <f>IF(D40="Oui",0,MAX(0,I40-J40))</f>
        <v/>
      </c>
      <c r="L40" s="39">
        <f>IF(B40="",0,SUMIFS(ClauseCapital,ClauseBenef,B40))</f>
        <v/>
      </c>
      <c r="M40" s="39">
        <f>L40-H40</f>
        <v/>
      </c>
    </row>
    <row r="41">
      <c r="B41" s="23" t="n"/>
      <c r="C41" s="8" t="n"/>
      <c r="D41" s="10">
        <f>IF(B41="","",IF(IFERROR(INDEX(AbatCat,MATCH(C41,AbatLien,0)),"")="Exonéré","Oui","Non"))</f>
        <v/>
      </c>
      <c r="E41" s="39">
        <f>IF(B41="",0,SUMIFS(ClauseCap70Moins,ClauseBenef,B41))</f>
        <v/>
      </c>
      <c r="F41" s="39">
        <f>IF(D41="Oui",0,MIN(E41,AV_Abat990))</f>
        <v/>
      </c>
      <c r="G41" s="39">
        <f>IF(D41="Oui",0,MAX(0,E41-F41))</f>
        <v/>
      </c>
      <c r="H41" s="57">
        <f>MIN(G41,AV_Seuil20)*AV_Taux1+MAX(0,G41-AV_Seuil20)*AV_Taux2</f>
        <v/>
      </c>
      <c r="I41" s="39">
        <f>IF(B41="",0,SUMIFS(ClausePrimes70Plus,ClauseBenef,B41))</f>
        <v/>
      </c>
      <c r="J41" s="39">
        <f>IF(OR(D41="Oui",AV_Primes70PlusTransmises=0),0,AV_Abat757*I41/AV_Primes70PlusTransmises)</f>
        <v/>
      </c>
      <c r="K41" s="57">
        <f>IF(D41="Oui",0,MAX(0,I41-J41))</f>
        <v/>
      </c>
      <c r="L41" s="39">
        <f>IF(B41="",0,SUMIFS(ClauseCapital,ClauseBenef,B41))</f>
        <v/>
      </c>
      <c r="M41" s="39">
        <f>L41-H41</f>
        <v/>
      </c>
    </row>
    <row r="42">
      <c r="B42" s="23" t="n"/>
      <c r="C42" s="8" t="n"/>
      <c r="D42" s="10">
        <f>IF(B42="","",IF(IFERROR(INDEX(AbatCat,MATCH(C42,AbatLien,0)),"")="Exonéré","Oui","Non"))</f>
        <v/>
      </c>
      <c r="E42" s="39">
        <f>IF(B42="",0,SUMIFS(ClauseCap70Moins,ClauseBenef,B42))</f>
        <v/>
      </c>
      <c r="F42" s="39">
        <f>IF(D42="Oui",0,MIN(E42,AV_Abat990))</f>
        <v/>
      </c>
      <c r="G42" s="39">
        <f>IF(D42="Oui",0,MAX(0,E42-F42))</f>
        <v/>
      </c>
      <c r="H42" s="57">
        <f>MIN(G42,AV_Seuil20)*AV_Taux1+MAX(0,G42-AV_Seuil20)*AV_Taux2</f>
        <v/>
      </c>
      <c r="I42" s="39">
        <f>IF(B42="",0,SUMIFS(ClausePrimes70Plus,ClauseBenef,B42))</f>
        <v/>
      </c>
      <c r="J42" s="39">
        <f>IF(OR(D42="Oui",AV_Primes70PlusTransmises=0),0,AV_Abat757*I42/AV_Primes70PlusTransmises)</f>
        <v/>
      </c>
      <c r="K42" s="57">
        <f>IF(D42="Oui",0,MAX(0,I42-J42))</f>
        <v/>
      </c>
      <c r="L42" s="39">
        <f>IF(B42="",0,SUMIFS(ClauseCapital,ClauseBenef,B42))</f>
        <v/>
      </c>
      <c r="M42" s="39">
        <f>L42-H42</f>
        <v/>
      </c>
    </row>
    <row r="43">
      <c r="B43" s="23" t="n"/>
      <c r="C43" s="8" t="n"/>
      <c r="D43" s="10">
        <f>IF(B43="","",IF(IFERROR(INDEX(AbatCat,MATCH(C43,AbatLien,0)),"")="Exonéré","Oui","Non"))</f>
        <v/>
      </c>
      <c r="E43" s="39">
        <f>IF(B43="",0,SUMIFS(ClauseCap70Moins,ClauseBenef,B43))</f>
        <v/>
      </c>
      <c r="F43" s="39">
        <f>IF(D43="Oui",0,MIN(E43,AV_Abat990))</f>
        <v/>
      </c>
      <c r="G43" s="39">
        <f>IF(D43="Oui",0,MAX(0,E43-F43))</f>
        <v/>
      </c>
      <c r="H43" s="57">
        <f>MIN(G43,AV_Seuil20)*AV_Taux1+MAX(0,G43-AV_Seuil20)*AV_Taux2</f>
        <v/>
      </c>
      <c r="I43" s="39">
        <f>IF(B43="",0,SUMIFS(ClausePrimes70Plus,ClauseBenef,B43))</f>
        <v/>
      </c>
      <c r="J43" s="39">
        <f>IF(OR(D43="Oui",AV_Primes70PlusTransmises=0),0,AV_Abat757*I43/AV_Primes70PlusTransmises)</f>
        <v/>
      </c>
      <c r="K43" s="57">
        <f>IF(D43="Oui",0,MAX(0,I43-J43))</f>
        <v/>
      </c>
      <c r="L43" s="39">
        <f>IF(B43="",0,SUMIFS(ClauseCapital,ClauseBenef,B43))</f>
        <v/>
      </c>
      <c r="M43" s="39">
        <f>L43-H43</f>
        <v/>
      </c>
    </row>
    <row r="44">
      <c r="B44" s="23" t="n"/>
      <c r="C44" s="8" t="n"/>
      <c r="D44" s="10">
        <f>IF(B44="","",IF(IFERROR(INDEX(AbatCat,MATCH(C44,AbatLien,0)),"")="Exonéré","Oui","Non"))</f>
        <v/>
      </c>
      <c r="E44" s="39">
        <f>IF(B44="",0,SUMIFS(ClauseCap70Moins,ClauseBenef,B44))</f>
        <v/>
      </c>
      <c r="F44" s="39">
        <f>IF(D44="Oui",0,MIN(E44,AV_Abat990))</f>
        <v/>
      </c>
      <c r="G44" s="39">
        <f>IF(D44="Oui",0,MAX(0,E44-F44))</f>
        <v/>
      </c>
      <c r="H44" s="57">
        <f>MIN(G44,AV_Seuil20)*AV_Taux1+MAX(0,G44-AV_Seuil20)*AV_Taux2</f>
        <v/>
      </c>
      <c r="I44" s="39">
        <f>IF(B44="",0,SUMIFS(ClausePrimes70Plus,ClauseBenef,B44))</f>
        <v/>
      </c>
      <c r="J44" s="39">
        <f>IF(OR(D44="Oui",AV_Primes70PlusTransmises=0),0,AV_Abat757*I44/AV_Primes70PlusTransmises)</f>
        <v/>
      </c>
      <c r="K44" s="57">
        <f>IF(D44="Oui",0,MAX(0,I44-J44))</f>
        <v/>
      </c>
      <c r="L44" s="39">
        <f>IF(B44="",0,SUMIFS(ClauseCapital,ClauseBenef,B44))</f>
        <v/>
      </c>
      <c r="M44" s="39">
        <f>L44-H44</f>
        <v/>
      </c>
    </row>
    <row r="45">
      <c r="B45" s="17" t="inlineStr">
        <is>
          <t>TOTAUX</t>
        </is>
      </c>
      <c r="E45" s="41">
        <f>SUM(E37:E44)</f>
        <v/>
      </c>
      <c r="G45" s="41">
        <f>SUM(G37:G44)</f>
        <v/>
      </c>
      <c r="H45" s="42">
        <f>SUM(H37:H44)</f>
        <v/>
      </c>
      <c r="I45" s="41">
        <f>SUM(I37:I44)</f>
        <v/>
      </c>
      <c r="K45" s="41">
        <f>SUM(K37:K44)</f>
        <v/>
      </c>
      <c r="L45" s="41">
        <f>SUM(L37:L44)</f>
        <v/>
      </c>
      <c r="M45" s="41">
        <f>SUM(M37:M44)</f>
        <v/>
      </c>
    </row>
    <row r="46">
      <c r="B46" s="24" t="inlineStr">
        <is>
          <t>Contrôle : capitaux répartis vs capitaux transmis</t>
        </is>
      </c>
      <c r="L46" s="53">
        <f>L45-AV_CapitalTotal</f>
        <v/>
      </c>
    </row>
    <row r="48">
      <c r="B48" s="21" t="inlineStr">
        <is>
          <t>Art. 990 I CGI — primes versées AVANT 70 ans : abattement de 152 500 € par bénéficiaire (tous contrats du même assuré confondus), puis 20 % jusqu'à 700 000 € de part taxable et 31,25 % au-delà. Le conjoint et le partenaire de PACS sont exonérés (art. 796-0 bis).</t>
        </is>
      </c>
    </row>
    <row r="49">
      <c r="B49" s="21" t="inlineStr">
        <is>
          <t>Art. 757 B CGI — primes versées APRÈS 70 ans : seules les PRIMES sont taxables, après un abattement GLOBAL de 30 500 € réparti entre les bénéficiaires taxables au prorata. Les produits capitalisés restent exonérés. La base ainsi calculée (colonne K) est reprise automatiquement dans l'assiette des droits de succession du bénéficiaire, feuille « Droits_Succession » colonne F.</t>
        </is>
      </c>
    </row>
    <row r="50">
      <c r="B50" s="21" t="inlineStr">
        <is>
          <t>Non modélisé : contrats souscrits avant le 20/11/1991, primes versées avant le 13/10/1998, clauses démembrées (usufruit / nue-propriété du capital décès) et contrats de capitalisation.</t>
        </is>
      </c>
    </row>
  </sheetData>
  <dataValidations count="4">
    <dataValidation sqref="D6:D11" showDropDown="0" showInputMessage="0" showErrorMessage="0" allowBlank="1" errorTitle="Valeur non autorisée" error="Choisissez une valeur dans la liste déroulante." type="list">
      <formula1>"Client,Conjoint"</formula1>
    </dataValidation>
    <dataValidation sqref="B17:B30" showDropDown="0" showInputMessage="0" showErrorMessage="0" allowBlank="1" errorTitle="Valeur non autorisée" error="Choisissez une valeur dans la liste déroulante." type="list">
      <formula1>"1,2,3,4,5,6"</formula1>
    </dataValidation>
    <dataValidation sqref="D17:D30" showDropDown="0" showInputMessage="0" showErrorMessage="0" allowBlank="1" errorTitle="Valeur non autorisée" error="Choisissez une valeur dans la liste déroulante." type="list">
      <formula1>AbatLien</formula1>
    </dataValidation>
    <dataValidation sqref="C37:C44" showDropDown="0" showInputMessage="0" showErrorMessage="0" allowBlank="1" errorTitle="Valeur non autorisée" error="Choisissez une valeur dans la liste déroulante." type="list">
      <formula1>AbatLien</formula1>
    </dataValidation>
  </dataValidations>
  <printOptions horizontalCentered="1"/>
  <pageMargins left="0.75" right="0.75" top="1" bottom="1" header="0.5" footer="0.5"/>
  <pageSetup orientation="landscape" fitToHeight="0" fitToWidth="1"/>
</worksheet>
</file>

<file path=xl/worksheets/sheet7.xml><?xml version="1.0" encoding="utf-8"?>
<worksheet xmlns="http://schemas.openxmlformats.org/spreadsheetml/2006/main">
  <sheetPr>
    <tabColor rgb="001F7A4D"/>
    <outlinePr summaryBelow="1" summaryRight="1"/>
    <pageSetUpPr fitToPage="1"/>
  </sheetPr>
  <dimension ref="A1:F41"/>
  <sheetViews>
    <sheetView showGridLines="0" zoomScale="100" workbookViewId="0">
      <pane ySplit="4" topLeftCell="A5" activePane="bottomLeft" state="frozen"/>
      <selection pane="bottomLeft" activeCell="A1" sqref="A1"/>
    </sheetView>
  </sheetViews>
  <sheetFormatPr baseColWidth="8" defaultRowHeight="15"/>
  <cols>
    <col width="2" customWidth="1" min="1" max="1"/>
    <col width="52" customWidth="1" min="2" max="2"/>
    <col width="18" customWidth="1" min="3" max="3"/>
    <col width="18" customWidth="1" min="4" max="4"/>
    <col width="4" customWidth="1" min="5" max="5"/>
    <col width="78" customWidth="1" min="6" max="6"/>
  </cols>
  <sheetData>
    <row r="1" ht="30" customHeight="1">
      <c r="A1" s="1" t="inlineStr">
        <is>
          <t>RETRAITE — PERSONNE ÉTUDIÉE, PARAMÈTRES LÉGAUX ET CARRIÈRE</t>
        </is>
      </c>
      <c r="B1" s="2" t="n"/>
      <c r="C1" s="2" t="n"/>
      <c r="D1" s="2" t="n"/>
      <c r="E1" s="2" t="n"/>
      <c r="F1" s="2" t="n"/>
    </row>
    <row r="2" ht="14" customHeight="1">
      <c r="A2" s="3" t="inlineStr">
        <is>
          <t>Modèle calibré pour un salarié du privé : régime général (CNAV) + complémentaire Agirc-Arrco. Basculez le sélecteur pour étudier le conjoint.</t>
        </is>
      </c>
    </row>
    <row r="4" ht="20" customHeight="1">
      <c r="A4" s="4" t="inlineStr">
        <is>
          <t>1.  PERSONNE ÉTUDIÉE</t>
        </is>
      </c>
      <c r="B4" s="5" t="n"/>
      <c r="C4" s="5" t="n"/>
      <c r="D4" s="5" t="n"/>
      <c r="E4" s="5" t="n"/>
      <c r="F4" s="5" t="n"/>
    </row>
    <row r="5">
      <c r="B5" s="17" t="inlineStr">
        <is>
          <t>Personne étudiée</t>
        </is>
      </c>
      <c r="C5" s="8" t="inlineStr">
        <is>
          <t>Client</t>
        </is>
      </c>
    </row>
    <row r="6">
      <c r="B6" s="9" t="inlineStr">
        <is>
          <t>Identité</t>
        </is>
      </c>
      <c r="C6" s="36">
        <f>IF(Rt_Personne="Client",NomClient,NomConjoint)</f>
        <v/>
      </c>
    </row>
    <row r="7">
      <c r="B7" s="9" t="inlineStr">
        <is>
          <t>Date de naissance</t>
        </is>
      </c>
      <c r="C7" s="60">
        <f>IF(Rt_Personne="Client",DateNaisClient,DateNaisConjoint)</f>
        <v/>
      </c>
    </row>
    <row r="8">
      <c r="B8" s="9" t="inlineStr">
        <is>
          <t>Année de naissance</t>
        </is>
      </c>
      <c r="C8" s="46">
        <f>YEAR(Rt_DateNais)</f>
        <v/>
      </c>
    </row>
    <row r="9">
      <c r="B9" s="9" t="inlineStr">
        <is>
          <t>Âge actuel</t>
        </is>
      </c>
      <c r="C9" s="46">
        <f>IF(Rt_Personne="Client",AgeClient,AgeConjoint)</f>
        <v/>
      </c>
    </row>
    <row r="10">
      <c r="B10" s="9" t="inlineStr">
        <is>
          <t>Statut professionnel</t>
        </is>
      </c>
      <c r="C10" s="36">
        <f>IF(Rt_Personne="Client",StatutClient,StatutConjoint)</f>
        <v/>
      </c>
    </row>
    <row r="11">
      <c r="B11" s="9" t="inlineStr">
        <is>
          <t>Salaire annuel brut actuel</t>
        </is>
      </c>
      <c r="C11" s="45">
        <f>IF(Rt_Personne="Client",RevBrutClient,RevBrutConjoint)</f>
        <v/>
      </c>
    </row>
    <row r="12">
      <c r="B12" s="9" t="inlineStr">
        <is>
          <t>Revenu net mensuel actuel</t>
        </is>
      </c>
      <c r="C12" s="45">
        <f>IF(Rt_Personne="Client",RevNetMensClient,RevNetMensConjoint)</f>
        <v/>
      </c>
    </row>
    <row r="13">
      <c r="B13" s="9" t="inlineStr">
        <is>
          <t>Nombre d'enfants</t>
        </is>
      </c>
      <c r="C13" s="46">
        <f>IF(Rt_Personne="Client",NbEnfClient,NbEnfConjoint)</f>
        <v/>
      </c>
    </row>
    <row r="14" ht="44" customHeight="1">
      <c r="B14" s="9" t="inlineStr">
        <is>
          <t>Contrôle du régime</t>
        </is>
      </c>
      <c r="C14" s="13">
        <f>IF(Rt_Statut="Salarié du privé","✅ Régime général + Agirc-Arrco : le modèle s'applique.","⚠️ Statut hors régime général : reportez directement l'estimation communiquée par la caisse (fonction publique, SSI, CNAVPL, MSA) dans la feuille « Retraite_Objectif ».")</f>
        <v/>
      </c>
      <c r="D14" s="61" t="n"/>
      <c r="E14" s="61" t="n"/>
      <c r="F14" s="62" t="n"/>
    </row>
    <row r="16" ht="20" customHeight="1">
      <c r="A16" s="4" t="inlineStr">
        <is>
          <t>2.  PARAMÈTRES LÉGAUX (issus du calendrier par génération)</t>
        </is>
      </c>
      <c r="B16" s="5" t="n"/>
      <c r="C16" s="5" t="n"/>
      <c r="D16" s="5" t="n"/>
      <c r="E16" s="5" t="n"/>
      <c r="F16" s="5" t="n"/>
    </row>
    <row r="17" ht="28" customHeight="1">
      <c r="B17" s="14" t="inlineStr"/>
      <c r="C17" s="14" t="inlineStr">
        <is>
          <t>Calendrier légal</t>
        </is>
      </c>
      <c r="D17" s="14" t="inlineStr">
        <is>
          <t>Valeur retenue</t>
        </is>
      </c>
      <c r="E17" s="14" t="inlineStr"/>
    </row>
    <row r="18">
      <c r="B18" s="9" t="inlineStr">
        <is>
          <t>Âge légal de départ (années)</t>
        </is>
      </c>
      <c r="C18" s="63">
        <f>IFERROR(INDEX(GenAgeLegal,MATCH(Rt_AnneeNais,GenAnnee,0)),64)</f>
        <v/>
      </c>
      <c r="D18" s="31">
        <f>C18</f>
        <v/>
      </c>
      <c r="F18" s="21" t="inlineStr">
        <is>
          <t>Feuille Parametres § 7.  |  ℹ️ Valeur reprise du calendrier. Écrasez-la si la réglementation applicable diffère ou si le client relève d'un dispositif particulier (carrière longue, incapacité, catégorie active).</t>
        </is>
      </c>
    </row>
    <row r="19">
      <c r="B19" s="9" t="inlineStr">
        <is>
          <t>Durée d'assurance requise (trimestres)</t>
        </is>
      </c>
      <c r="C19" s="25">
        <f>IFERROR(INDEX(GenDuree,MATCH(Rt_AnneeNais,GenAnnee,0)),172)</f>
        <v/>
      </c>
      <c r="D19" s="29">
        <f>C19</f>
        <v/>
      </c>
      <c r="F19" s="21" t="inlineStr">
        <is>
          <t>Feuille Parametres § 7.  |  ℹ️ Valeur reprise du calendrier. Écrasez-la si la réglementation applicable diffère ou si le client relève d'un dispositif particulier (carrière longue, incapacité, catégorie active).</t>
        </is>
      </c>
    </row>
    <row r="20">
      <c r="B20" s="9" t="inlineStr">
        <is>
          <t>Âge du taux plein automatique</t>
        </is>
      </c>
      <c r="C20" s="25">
        <f>IFERROR(INDEX(GenAgeTP,MATCH(Rt_AnneeNais,GenAnnee,0)),67)</f>
        <v/>
      </c>
      <c r="D20" s="29">
        <f>C20</f>
        <v/>
      </c>
      <c r="F20" s="21" t="inlineStr">
        <is>
          <t>Taux plein sans condition de durée.  |  ℹ️ Valeur reprise du calendrier. Écrasez-la si la réglementation applicable diffère ou si le client relève d'un dispositif particulier (carrière longue, incapacité, catégorie active).</t>
        </is>
      </c>
    </row>
    <row r="21">
      <c r="B21" s="21" t="inlineStr">
        <is>
          <t>⚠️ Dispositifs non modélisés : carrière longue, retraite progressive, incapacité permanente, catégories actives, régimes spéciaux, rachats de trimestres.</t>
        </is>
      </c>
    </row>
    <row r="23" ht="20" customHeight="1">
      <c r="A23" s="4" t="inlineStr">
        <is>
          <t>3.  CARRIÈRE (à recopier depuis le relevé de carrière — info-retraite.fr)</t>
        </is>
      </c>
      <c r="B23" s="5" t="n"/>
      <c r="C23" s="5" t="n"/>
      <c r="D23" s="5" t="n"/>
      <c r="E23" s="5" t="n"/>
      <c r="F23" s="5" t="n"/>
    </row>
    <row r="24">
      <c r="B24" s="9" t="inlineStr">
        <is>
          <t>Trimestres validés au relevé de carrière</t>
        </is>
      </c>
      <c r="C24" s="29" t="n">
        <v>145</v>
      </c>
      <c r="F24" s="21" t="inlineStr">
        <is>
          <t>Tous régimes de base confondus.</t>
        </is>
      </c>
    </row>
    <row r="25">
      <c r="B25" s="9" t="inlineStr">
        <is>
          <t>Année du relevé de carrière</t>
        </is>
      </c>
      <c r="C25" s="29" t="n">
        <v>2025</v>
      </c>
    </row>
    <row r="26">
      <c r="B26" s="24" t="inlineStr">
        <is>
          <t>Âge à la date du relevé</t>
        </is>
      </c>
      <c r="C26" s="25">
        <f>Rt_AnneeReleve-Rt_AnneeNais</f>
        <v/>
      </c>
    </row>
    <row r="27">
      <c r="B27" s="9" t="inlineStr">
        <is>
          <t>Trimestres de majoration à ajouter (maternité, éducation, service…)</t>
        </is>
      </c>
      <c r="C27" s="29" t="n">
        <v>0</v>
      </c>
      <c r="F27" s="22" t="inlineStr">
        <is>
          <t>ℹ️ À renseigner UNIQUEMENT si ces trimestres ne figurent pas déjà sur le relevé de carrière, pour éviter tout double compte. 8 trimestres par enfant pour la mère salariée du privé, dont 4 partageables au titre de l'éducation.</t>
        </is>
      </c>
    </row>
    <row r="28">
      <c r="B28" s="24" t="inlineStr">
        <is>
          <t>Trimestres acquis à la date du relevé (total)</t>
        </is>
      </c>
      <c r="C28" s="25">
        <f>Rt_TrimReleve+Rt_TrimMajo</f>
        <v/>
      </c>
    </row>
    <row r="29">
      <c r="B29" s="24" t="inlineStr">
        <is>
          <t>Âge auquel le taux plein serait atteint</t>
        </is>
      </c>
      <c r="C29" s="63">
        <f>MIN(Rt_AgeTP,MAX(Rt_AgeLegal,Rt_AgeReleve+(Rt_DureeRequise-Rt_TrimTotalReleve)/4))</f>
        <v/>
      </c>
      <c r="F29" s="21" t="inlineStr">
        <is>
          <t>Le plus tardif entre l'âge légal et l'âge d'obtention de la durée requise, plafonné à l'âge du taux plein automatique.</t>
        </is>
      </c>
    </row>
    <row r="30">
      <c r="B30" s="17" t="inlineStr">
        <is>
          <t>ÂGE DE DÉPART ENVISAGÉ</t>
        </is>
      </c>
      <c r="C30" s="31" t="n">
        <v>64</v>
      </c>
      <c r="F30" s="21" t="inlineStr">
        <is>
          <t>Alimente la colonne « Départ envisagé » de la feuille « Retraite_Estimation ».</t>
        </is>
      </c>
    </row>
    <row r="32" ht="20" customHeight="1">
      <c r="A32" s="4" t="inlineStr">
        <is>
          <t>4.  SALAIRE ANNUEL MOYEN (SAM) ET POINTS AGIRC-ARRCO</t>
        </is>
      </c>
      <c r="B32" s="5" t="n"/>
      <c r="C32" s="5" t="n"/>
      <c r="D32" s="5" t="n"/>
      <c r="E32" s="5" t="n"/>
      <c r="F32" s="5" t="n"/>
    </row>
    <row r="33">
      <c r="B33" s="9" t="inlineStr">
        <is>
          <t>Mode de détermination du SAM</t>
        </is>
      </c>
      <c r="C33" s="8" t="inlineStr">
        <is>
          <t>Estimation automatique</t>
        </is>
      </c>
      <c r="F33" s="21" t="inlineStr">
        <is>
          <t>Préférez « Saisie directe » dès que le client dispose d'une estimation officielle.</t>
        </is>
      </c>
    </row>
    <row r="34">
      <c r="B34" s="9" t="inlineStr">
        <is>
          <t>SAM saisi (25 meilleures années, plafonnées au PASS)</t>
        </is>
      </c>
      <c r="C34" s="30" t="n">
        <v>40000</v>
      </c>
    </row>
    <row r="35">
      <c r="B35" s="24" t="inlineStr">
        <is>
          <t>SAM estimé automatiquement</t>
        </is>
      </c>
      <c r="C35" s="32">
        <f>MIN(Rt_SalaireBrut,PASS)*CoefSAM</f>
        <v/>
      </c>
      <c r="F35" s="21" t="inlineStr">
        <is>
          <t>Salaire brut plafonné au PASS × coefficient de carrière (feuille Parametres § 11). APPROXIMATION : les 25 meilleures années sont en moyenne inférieures au dernier salaire.</t>
        </is>
      </c>
    </row>
    <row r="36">
      <c r="B36" s="17" t="inlineStr">
        <is>
          <t>SALAIRE ANNUEL MOYEN RETENU</t>
        </is>
      </c>
      <c r="C36" s="42">
        <f>IF(Rt_ModeSAM="Saisie directe",Rt_SAM_Saisi,Rt_SAM_Auto)</f>
        <v/>
      </c>
    </row>
    <row r="38">
      <c r="B38" s="9" t="inlineStr">
        <is>
          <t>Points Agirc-Arrco acquis au relevé</t>
        </is>
      </c>
      <c r="C38" s="29" t="n">
        <v>4800</v>
      </c>
    </row>
    <row r="39">
      <c r="B39" s="24" t="inlineStr">
        <is>
          <t>Points acquis chaque année (calculés sur le salaire actuel)</t>
        </is>
      </c>
      <c r="C39" s="63">
        <f>IF(ArrcoAchat=0,0,(MIN(Rt_SalaireBrut,PASS)*ArrcoT1+MAX(0,MIN(Rt_SalaireBrut,8*PASS)-PASS)*ArrcoT2)/ArrcoAchat)</f>
        <v/>
      </c>
      <c r="F39" s="22" t="inlineStr">
        <is>
          <t>ℹ️ Points = (assiette T1 × 6,20 % + assiette T2 × 17 %) / valeur d'achat du point. Le salaire est supposé stable en euros constants sur la période restante.</t>
        </is>
      </c>
    </row>
    <row r="41">
      <c r="B41" s="21" t="inlineStr">
        <is>
          <t>Le raisonnement est mené EN EUROS CONSTANTS : salaire, SAM et valeurs du point sont supposés évoluer comme l'inflation. Les montants de pension s'interprètent donc en pouvoir d'achat d'aujourd'hui.</t>
        </is>
      </c>
    </row>
  </sheetData>
  <mergeCells count="1">
    <mergeCell ref="C14:F14"/>
  </mergeCells>
  <dataValidations count="2">
    <dataValidation sqref="C5" showDropDown="0" showInputMessage="0" showErrorMessage="0" allowBlank="1" errorTitle="Valeur non autorisée" error="Choisissez une valeur dans la liste déroulante." type="list">
      <formula1>"Client,Conjoint"</formula1>
    </dataValidation>
    <dataValidation sqref="C33" showDropDown="0" showInputMessage="0" showErrorMessage="0" allowBlank="1" errorTitle="Valeur non autorisée" error="Choisissez une valeur dans la liste déroulante." type="list">
      <formula1>"Saisie directe,Estimation automatique"</formula1>
    </dataValidation>
  </dataValidations>
  <printOptions horizontalCentered="1"/>
  <pageMargins left="0.75" right="0.75" top="1" bottom="1" header="0.5" footer="0.5"/>
  <pageSetup orientation="portrait" fitToHeight="0" fitToWidth="1"/>
</worksheet>
</file>

<file path=xl/worksheets/sheet8.xml><?xml version="1.0" encoding="utf-8"?>
<worksheet xmlns="http://schemas.openxmlformats.org/spreadsheetml/2006/main">
  <sheetPr>
    <tabColor rgb="001F7A4D"/>
    <outlinePr summaryBelow="1" summaryRight="1"/>
    <pageSetUpPr fitToPage="1"/>
  </sheetPr>
  <dimension ref="A1:J42"/>
  <sheetViews>
    <sheetView showGridLines="0" zoomScale="95" workbookViewId="0">
      <pane xSplit="3" ySplit="7" topLeftCell="D8" activePane="bottomRight" state="frozen"/>
      <selection pane="topRight"/>
      <selection pane="bottomLeft"/>
      <selection pane="bottomRight" activeCell="A1" sqref="A1"/>
    </sheetView>
  </sheetViews>
  <sheetFormatPr baseColWidth="8" defaultRowHeight="15"/>
  <cols>
    <col width="2" customWidth="1" min="1" max="1"/>
    <col width="54" customWidth="1" min="2" max="2"/>
    <col width="3" customWidth="1" min="3" max="3"/>
    <col width="15" customWidth="1" min="4" max="4"/>
    <col width="15" customWidth="1" min="5" max="5"/>
    <col width="15" customWidth="1" min="6" max="6"/>
    <col width="15" customWidth="1" min="7" max="7"/>
    <col width="15" customWidth="1" min="8" max="8"/>
    <col width="15" customWidth="1" min="9" max="9"/>
    <col width="18" customWidth="1" min="10" max="10"/>
    <col width="4" customWidth="1" min="11" max="11"/>
    <col width="62" customWidth="1" min="12" max="12"/>
  </cols>
  <sheetData>
    <row r="1" ht="30" customHeight="1">
      <c r="A1" s="1" t="inlineStr">
        <is>
          <t>RETRAITE — ESTIMATION DE LA PENSION SELON L'ÂGE DE DÉPART</t>
        </is>
      </c>
      <c r="B1" s="2" t="n"/>
      <c r="C1" s="2" t="n"/>
      <c r="D1" s="2" t="n"/>
      <c r="E1" s="2" t="n"/>
      <c r="F1" s="2" t="n"/>
      <c r="G1" s="2" t="n"/>
      <c r="H1" s="2" t="n"/>
      <c r="I1" s="2" t="n"/>
      <c r="J1" s="2" t="n"/>
    </row>
    <row r="2" ht="14" customHeight="1">
      <c r="A2" s="3" t="inlineStr">
        <is>
          <t>Le même bloc de calcul est appliqué à six âges de départ, plus l'âge envisagé. Montants exprimés en euros constants (pouvoir d'achat d'aujourd'hui).</t>
        </is>
      </c>
    </row>
    <row r="4">
      <c r="B4" s="17" t="inlineStr">
        <is>
          <t>Personne étudiée</t>
        </is>
      </c>
      <c r="D4" s="64">
        <f>Rt_Nom</f>
        <v/>
      </c>
    </row>
    <row r="6" ht="20" customHeight="1">
      <c r="A6" s="4" t="inlineStr">
        <is>
          <t>SCÉNARIOS D'ÂGE DE DÉPART</t>
        </is>
      </c>
      <c r="B6" s="5" t="n"/>
      <c r="C6" s="5" t="n"/>
      <c r="D6" s="5" t="n"/>
      <c r="E6" s="5" t="n"/>
      <c r="F6" s="5" t="n"/>
      <c r="G6" s="5" t="n"/>
      <c r="H6" s="5" t="n"/>
      <c r="I6" s="5" t="n"/>
      <c r="J6" s="5" t="n"/>
    </row>
    <row r="7" ht="28" customHeight="1">
      <c r="B7" s="14" t="inlineStr">
        <is>
          <t>Étape de calcul</t>
        </is>
      </c>
      <c r="C7" s="14" t="inlineStr"/>
      <c r="D7" s="14" t="inlineStr">
        <is>
          <t>62 ans</t>
        </is>
      </c>
      <c r="E7" s="14" t="inlineStr">
        <is>
          <t>63 ans</t>
        </is>
      </c>
      <c r="F7" s="14" t="inlineStr">
        <is>
          <t>64 ans</t>
        </is>
      </c>
      <c r="G7" s="14" t="inlineStr">
        <is>
          <t>65 ans</t>
        </is>
      </c>
      <c r="H7" s="14" t="inlineStr">
        <is>
          <t>66 ans</t>
        </is>
      </c>
      <c r="I7" s="14" t="inlineStr">
        <is>
          <t>67 ans</t>
        </is>
      </c>
      <c r="J7" s="14" t="inlineStr">
        <is>
          <t>DÉPART ENVISAGÉ</t>
        </is>
      </c>
    </row>
    <row r="8">
      <c r="B8" s="17" t="inlineStr">
        <is>
          <t>Âge de départ</t>
        </is>
      </c>
      <c r="D8" s="31" t="n">
        <v>62</v>
      </c>
      <c r="E8" s="31" t="n">
        <v>63</v>
      </c>
      <c r="F8" s="31" t="n">
        <v>64</v>
      </c>
      <c r="G8" s="31" t="n">
        <v>65</v>
      </c>
      <c r="H8" s="31" t="n">
        <v>66</v>
      </c>
      <c r="I8" s="31" t="n">
        <v>67</v>
      </c>
      <c r="J8" s="65">
        <f>Rt_AgeDepart</f>
        <v/>
      </c>
    </row>
    <row r="9">
      <c r="B9" s="9" t="inlineStr">
        <is>
          <t>Année de départ estimée</t>
        </is>
      </c>
      <c r="D9" s="27">
        <f>Rt_AnneeNais+D$8</f>
        <v/>
      </c>
      <c r="E9" s="27">
        <f>Rt_AnneeNais+E$8</f>
        <v/>
      </c>
      <c r="F9" s="27">
        <f>Rt_AnneeNais+F$8</f>
        <v/>
      </c>
      <c r="G9" s="27">
        <f>Rt_AnneeNais+G$8</f>
        <v/>
      </c>
      <c r="H9" s="27">
        <f>Rt_AnneeNais+H$8</f>
        <v/>
      </c>
      <c r="I9" s="27">
        <f>Rt_AnneeNais+I$8</f>
        <v/>
      </c>
      <c r="J9" s="66">
        <f>Rt_AnneeNais+J$8</f>
        <v/>
      </c>
    </row>
    <row r="10">
      <c r="B10" s="9" t="inlineStr">
        <is>
          <t>Départ possible au regard de l'âge légal ?</t>
        </is>
      </c>
      <c r="D10" s="10">
        <f>IF(D$8&lt;Rt_AgeLegal,"NON","Oui")</f>
        <v/>
      </c>
      <c r="E10" s="10">
        <f>IF(E$8&lt;Rt_AgeLegal,"NON","Oui")</f>
        <v/>
      </c>
      <c r="F10" s="10">
        <f>IF(F$8&lt;Rt_AgeLegal,"NON","Oui")</f>
        <v/>
      </c>
      <c r="G10" s="10">
        <f>IF(G$8&lt;Rt_AgeLegal,"NON","Oui")</f>
        <v/>
      </c>
      <c r="H10" s="10">
        <f>IF(H$8&lt;Rt_AgeLegal,"NON","Oui")</f>
        <v/>
      </c>
      <c r="I10" s="10">
        <f>IF(I$8&lt;Rt_AgeLegal,"NON","Oui")</f>
        <v/>
      </c>
      <c r="J10" s="67">
        <f>IF(J$8&lt;Rt_AgeLegal,"NON","Oui")</f>
        <v/>
      </c>
    </row>
    <row r="11">
      <c r="B11" s="9" t="inlineStr">
        <is>
          <t>Trimestres acquis au départ</t>
        </is>
      </c>
      <c r="D11" s="27">
        <f>Rt_TrimTotalReleve+4*MAX(0,D$8-Rt_AgeReleve)</f>
        <v/>
      </c>
      <c r="E11" s="27">
        <f>Rt_TrimTotalReleve+4*MAX(0,E$8-Rt_AgeReleve)</f>
        <v/>
      </c>
      <c r="F11" s="27">
        <f>Rt_TrimTotalReleve+4*MAX(0,F$8-Rt_AgeReleve)</f>
        <v/>
      </c>
      <c r="G11" s="27">
        <f>Rt_TrimTotalReleve+4*MAX(0,G$8-Rt_AgeReleve)</f>
        <v/>
      </c>
      <c r="H11" s="27">
        <f>Rt_TrimTotalReleve+4*MAX(0,H$8-Rt_AgeReleve)</f>
        <v/>
      </c>
      <c r="I11" s="27">
        <f>Rt_TrimTotalReleve+4*MAX(0,I$8-Rt_AgeReleve)</f>
        <v/>
      </c>
      <c r="J11" s="66">
        <f>Rt_TrimTotalReleve+4*MAX(0,J$8-Rt_AgeReleve)</f>
        <v/>
      </c>
    </row>
    <row r="12">
      <c r="B12" s="9" t="inlineStr">
        <is>
          <t xml:space="preserve">    Durée d'assurance requise</t>
        </is>
      </c>
      <c r="D12" s="27">
        <f>Rt_DureeRequise</f>
        <v/>
      </c>
      <c r="E12" s="27">
        <f>Rt_DureeRequise</f>
        <v/>
      </c>
      <c r="F12" s="27">
        <f>Rt_DureeRequise</f>
        <v/>
      </c>
      <c r="G12" s="27">
        <f>Rt_DureeRequise</f>
        <v/>
      </c>
      <c r="H12" s="27">
        <f>Rt_DureeRequise</f>
        <v/>
      </c>
      <c r="I12" s="27">
        <f>Rt_DureeRequise</f>
        <v/>
      </c>
      <c r="J12" s="66">
        <f>Rt_DureeRequise</f>
        <v/>
      </c>
    </row>
    <row r="13">
      <c r="B13" s="9" t="inlineStr">
        <is>
          <t xml:space="preserve">    Trimestres manquants</t>
        </is>
      </c>
      <c r="D13" s="27">
        <f>MAX(0,D$12-D$11)</f>
        <v/>
      </c>
      <c r="E13" s="27">
        <f>MAX(0,E$12-E$11)</f>
        <v/>
      </c>
      <c r="F13" s="27">
        <f>MAX(0,F$12-F$11)</f>
        <v/>
      </c>
      <c r="G13" s="27">
        <f>MAX(0,G$12-G$11)</f>
        <v/>
      </c>
      <c r="H13" s="27">
        <f>MAX(0,H$12-H$11)</f>
        <v/>
      </c>
      <c r="I13" s="27">
        <f>MAX(0,I$12-I$11)</f>
        <v/>
      </c>
      <c r="J13" s="66">
        <f>MAX(0,J$12-J$11)</f>
        <v/>
      </c>
    </row>
    <row r="14">
      <c r="B14" s="9" t="inlineStr">
        <is>
          <t xml:space="preserve">    Trimestres restant jusqu'à l'âge du taux plein</t>
        </is>
      </c>
      <c r="D14" s="27">
        <f>MAX(0,(Rt_AgeTP-D$8)*4)</f>
        <v/>
      </c>
      <c r="E14" s="27">
        <f>MAX(0,(Rt_AgeTP-E$8)*4)</f>
        <v/>
      </c>
      <c r="F14" s="27">
        <f>MAX(0,(Rt_AgeTP-F$8)*4)</f>
        <v/>
      </c>
      <c r="G14" s="27">
        <f>MAX(0,(Rt_AgeTP-G$8)*4)</f>
        <v/>
      </c>
      <c r="H14" s="27">
        <f>MAX(0,(Rt_AgeTP-H$8)*4)</f>
        <v/>
      </c>
      <c r="I14" s="27">
        <f>MAX(0,(Rt_AgeTP-I$8)*4)</f>
        <v/>
      </c>
      <c r="J14" s="66">
        <f>MAX(0,(Rt_AgeTP-J$8)*4)</f>
        <v/>
      </c>
    </row>
    <row r="15">
      <c r="B15" s="9" t="inlineStr">
        <is>
          <t xml:space="preserve">    Trimestres de décote retenus</t>
        </is>
      </c>
      <c r="D15" s="27">
        <f>MIN(DecoteMax,MIN(D$13,D$14))</f>
        <v/>
      </c>
      <c r="E15" s="27">
        <f>MIN(DecoteMax,MIN(E$13,E$14))</f>
        <v/>
      </c>
      <c r="F15" s="27">
        <f>MIN(DecoteMax,MIN(F$13,F$14))</f>
        <v/>
      </c>
      <c r="G15" s="27">
        <f>MIN(DecoteMax,MIN(G$13,G$14))</f>
        <v/>
      </c>
      <c r="H15" s="27">
        <f>MIN(DecoteMax,MIN(H$13,H$14))</f>
        <v/>
      </c>
      <c r="I15" s="27">
        <f>MIN(DecoteMax,MIN(I$13,I$14))</f>
        <v/>
      </c>
      <c r="J15" s="66">
        <f>MIN(DecoteMax,MIN(J$13,J$14))</f>
        <v/>
      </c>
    </row>
    <row r="16">
      <c r="B16" s="9" t="inlineStr">
        <is>
          <t xml:space="preserve">    Trimestres de surcote</t>
        </is>
      </c>
      <c r="D16" s="27">
        <f>MAX(0,MIN(D$11-D$12,(D$8-Rt_AgeLegal)*4))</f>
        <v/>
      </c>
      <c r="E16" s="27">
        <f>MAX(0,MIN(E$11-E$12,(E$8-Rt_AgeLegal)*4))</f>
        <v/>
      </c>
      <c r="F16" s="27">
        <f>MAX(0,MIN(F$11-F$12,(F$8-Rt_AgeLegal)*4))</f>
        <v/>
      </c>
      <c r="G16" s="27">
        <f>MAX(0,MIN(G$11-G$12,(G$8-Rt_AgeLegal)*4))</f>
        <v/>
      </c>
      <c r="H16" s="27">
        <f>MAX(0,MIN(H$11-H$12,(H$8-Rt_AgeLegal)*4))</f>
        <v/>
      </c>
      <c r="I16" s="27">
        <f>MAX(0,MIN(I$11-I$12,(I$8-Rt_AgeLegal)*4))</f>
        <v/>
      </c>
      <c r="J16" s="66">
        <f>MAX(0,MIN(J$11-J$12,(J$8-Rt_AgeLegal)*4))</f>
        <v/>
      </c>
    </row>
    <row r="17">
      <c r="B17" s="9" t="inlineStr">
        <is>
          <t>Taux de liquidation</t>
        </is>
      </c>
      <c r="D17" s="52">
        <f>IF(OR(D$8&gt;=Rt_AgeTP,D$11&gt;=D$12),TauxPlein+D$16*SurcoteTrim,TauxPlein-D$15*DecoteTrim)</f>
        <v/>
      </c>
      <c r="E17" s="52">
        <f>IF(OR(E$8&gt;=Rt_AgeTP,E$11&gt;=E$12),TauxPlein+E$16*SurcoteTrim,TauxPlein-E$15*DecoteTrim)</f>
        <v/>
      </c>
      <c r="F17" s="52">
        <f>IF(OR(F$8&gt;=Rt_AgeTP,F$11&gt;=F$12),TauxPlein+F$16*SurcoteTrim,TauxPlein-F$15*DecoteTrim)</f>
        <v/>
      </c>
      <c r="G17" s="52">
        <f>IF(OR(G$8&gt;=Rt_AgeTP,G$11&gt;=G$12),TauxPlein+G$16*SurcoteTrim,TauxPlein-G$15*DecoteTrim)</f>
        <v/>
      </c>
      <c r="H17" s="52">
        <f>IF(OR(H$8&gt;=Rt_AgeTP,H$11&gt;=H$12),TauxPlein+H$16*SurcoteTrim,TauxPlein-H$15*DecoteTrim)</f>
        <v/>
      </c>
      <c r="I17" s="52">
        <f>IF(OR(I$8&gt;=Rt_AgeTP,I$11&gt;=I$12),TauxPlein+I$16*SurcoteTrim,TauxPlein-I$15*DecoteTrim)</f>
        <v/>
      </c>
      <c r="J17" s="68">
        <f>IF(OR(J$8&gt;=Rt_AgeTP,J$11&gt;=J$12),TauxPlein+J$16*SurcoteTrim,TauxPlein-J$15*DecoteTrim)</f>
        <v/>
      </c>
    </row>
    <row r="18">
      <c r="B18" s="9" t="inlineStr">
        <is>
          <t>Coefficient de proratisation</t>
        </is>
      </c>
      <c r="D18" s="52">
        <f>IF(D$12=0,0,MIN(1,D$11/D$12))</f>
        <v/>
      </c>
      <c r="E18" s="52">
        <f>IF(E$12=0,0,MIN(1,E$11/E$12))</f>
        <v/>
      </c>
      <c r="F18" s="52">
        <f>IF(F$12=0,0,MIN(1,F$11/F$12))</f>
        <v/>
      </c>
      <c r="G18" s="52">
        <f>IF(G$12=0,0,MIN(1,G$11/G$12))</f>
        <v/>
      </c>
      <c r="H18" s="52">
        <f>IF(H$12=0,0,MIN(1,H$11/H$12))</f>
        <v/>
      </c>
      <c r="I18" s="52">
        <f>IF(I$12=0,0,MIN(1,I$11/I$12))</f>
        <v/>
      </c>
      <c r="J18" s="68">
        <f>IF(J$12=0,0,MIN(1,J$11/J$12))</f>
        <v/>
      </c>
    </row>
    <row r="19">
      <c r="B19" s="9" t="inlineStr">
        <is>
          <t xml:space="preserve">    Salaire annuel moyen retenu</t>
        </is>
      </c>
      <c r="D19" s="69">
        <f>Rt_SAM</f>
        <v/>
      </c>
      <c r="E19" s="69">
        <f>Rt_SAM</f>
        <v/>
      </c>
      <c r="F19" s="69">
        <f>Rt_SAM</f>
        <v/>
      </c>
      <c r="G19" s="69">
        <f>Rt_SAM</f>
        <v/>
      </c>
      <c r="H19" s="69">
        <f>Rt_SAM</f>
        <v/>
      </c>
      <c r="I19" s="69">
        <f>Rt_SAM</f>
        <v/>
      </c>
      <c r="J19" s="70">
        <f>Rt_SAM</f>
        <v/>
      </c>
    </row>
    <row r="20">
      <c r="B20" s="9" t="inlineStr">
        <is>
          <t>Pension de base annuelle brute</t>
        </is>
      </c>
      <c r="D20" s="69">
        <f>D$19*D$17*D$18</f>
        <v/>
      </c>
      <c r="E20" s="69">
        <f>E$19*E$17*E$18</f>
        <v/>
      </c>
      <c r="F20" s="69">
        <f>F$19*F$17*F$18</f>
        <v/>
      </c>
      <c r="G20" s="69">
        <f>G$19*G$17*G$18</f>
        <v/>
      </c>
      <c r="H20" s="69">
        <f>H$19*H$17*H$18</f>
        <v/>
      </c>
      <c r="I20" s="69">
        <f>I$19*I$17*I$18</f>
        <v/>
      </c>
      <c r="J20" s="70">
        <f>J$19*J$17*J$18</f>
        <v/>
      </c>
    </row>
    <row r="21">
      <c r="B21" s="9" t="inlineStr">
        <is>
          <t xml:space="preserve">    Majoration pour 3 enfants et plus</t>
        </is>
      </c>
      <c r="D21" s="69">
        <f>IF(Rt_NbEnfants&gt;=3,D$20*MajEnfants,0)</f>
        <v/>
      </c>
      <c r="E21" s="69">
        <f>IF(Rt_NbEnfants&gt;=3,E$20*MajEnfants,0)</f>
        <v/>
      </c>
      <c r="F21" s="69">
        <f>IF(Rt_NbEnfants&gt;=3,F$20*MajEnfants,0)</f>
        <v/>
      </c>
      <c r="G21" s="69">
        <f>IF(Rt_NbEnfants&gt;=3,G$20*MajEnfants,0)</f>
        <v/>
      </c>
      <c r="H21" s="69">
        <f>IF(Rt_NbEnfants&gt;=3,H$20*MajEnfants,0)</f>
        <v/>
      </c>
      <c r="I21" s="69">
        <f>IF(Rt_NbEnfants&gt;=3,I$20*MajEnfants,0)</f>
        <v/>
      </c>
      <c r="J21" s="70">
        <f>IF(Rt_NbEnfants&gt;=3,J$20*MajEnfants,0)</f>
        <v/>
      </c>
    </row>
    <row r="22">
      <c r="B22" s="17" t="inlineStr">
        <is>
          <t>PENSION DE BASE BRUTE (annuelle)</t>
        </is>
      </c>
      <c r="D22" s="42">
        <f>D$20+D$21</f>
        <v/>
      </c>
      <c r="E22" s="42">
        <f>E$20+E$21</f>
        <v/>
      </c>
      <c r="F22" s="42">
        <f>F$20+F$21</f>
        <v/>
      </c>
      <c r="G22" s="42">
        <f>G$20+G$21</f>
        <v/>
      </c>
      <c r="H22" s="42">
        <f>H$20+H$21</f>
        <v/>
      </c>
      <c r="I22" s="42">
        <f>I$20+I$21</f>
        <v/>
      </c>
      <c r="J22" s="42">
        <f>J$20+J$21</f>
        <v/>
      </c>
    </row>
    <row r="24">
      <c r="B24" s="9" t="inlineStr">
        <is>
          <t>Points Agirc-Arrco au départ</t>
        </is>
      </c>
      <c r="D24" s="27">
        <f>Rt_PointsReleve+Rt_PointsAnnuels*MAX(0,D$8-Rt_AgeReleve)</f>
        <v/>
      </c>
      <c r="E24" s="27">
        <f>Rt_PointsReleve+Rt_PointsAnnuels*MAX(0,E$8-Rt_AgeReleve)</f>
        <v/>
      </c>
      <c r="F24" s="27">
        <f>Rt_PointsReleve+Rt_PointsAnnuels*MAX(0,F$8-Rt_AgeReleve)</f>
        <v/>
      </c>
      <c r="G24" s="27">
        <f>Rt_PointsReleve+Rt_PointsAnnuels*MAX(0,G$8-Rt_AgeReleve)</f>
        <v/>
      </c>
      <c r="H24" s="27">
        <f>Rt_PointsReleve+Rt_PointsAnnuels*MAX(0,H$8-Rt_AgeReleve)</f>
        <v/>
      </c>
      <c r="I24" s="27">
        <f>Rt_PointsReleve+Rt_PointsAnnuels*MAX(0,I$8-Rt_AgeReleve)</f>
        <v/>
      </c>
      <c r="J24" s="66">
        <f>Rt_PointsReleve+Rt_PointsAnnuels*MAX(0,J$8-Rt_AgeReleve)</f>
        <v/>
      </c>
    </row>
    <row r="25">
      <c r="B25" s="9" t="inlineStr">
        <is>
          <t xml:space="preserve">    Coefficient de report Agirc-Arrco</t>
        </is>
      </c>
      <c r="D25" s="71">
        <f>IF(ArrcoCoefOn=0,1,IF(D$8&gt;=Rt_AgeTauxPlein+4,1.3,IF(D$8&gt;=Rt_AgeTauxPlein+3,1.2,IF(D$8&gt;=Rt_AgeTauxPlein+2,1.1,1))))</f>
        <v/>
      </c>
      <c r="E25" s="71">
        <f>IF(ArrcoCoefOn=0,1,IF(E$8&gt;=Rt_AgeTauxPlein+4,1.3,IF(E$8&gt;=Rt_AgeTauxPlein+3,1.2,IF(E$8&gt;=Rt_AgeTauxPlein+2,1.1,1))))</f>
        <v/>
      </c>
      <c r="F25" s="71">
        <f>IF(ArrcoCoefOn=0,1,IF(F$8&gt;=Rt_AgeTauxPlein+4,1.3,IF(F$8&gt;=Rt_AgeTauxPlein+3,1.2,IF(F$8&gt;=Rt_AgeTauxPlein+2,1.1,1))))</f>
        <v/>
      </c>
      <c r="G25" s="71">
        <f>IF(ArrcoCoefOn=0,1,IF(G$8&gt;=Rt_AgeTauxPlein+4,1.3,IF(G$8&gt;=Rt_AgeTauxPlein+3,1.2,IF(G$8&gt;=Rt_AgeTauxPlein+2,1.1,1))))</f>
        <v/>
      </c>
      <c r="H25" s="71">
        <f>IF(ArrcoCoefOn=0,1,IF(H$8&gt;=Rt_AgeTauxPlein+4,1.3,IF(H$8&gt;=Rt_AgeTauxPlein+3,1.2,IF(H$8&gt;=Rt_AgeTauxPlein+2,1.1,1))))</f>
        <v/>
      </c>
      <c r="I25" s="71">
        <f>IF(ArrcoCoefOn=0,1,IF(I$8&gt;=Rt_AgeTauxPlein+4,1.3,IF(I$8&gt;=Rt_AgeTauxPlein+3,1.2,IF(I$8&gt;=Rt_AgeTauxPlein+2,1.1,1))))</f>
        <v/>
      </c>
      <c r="J25" s="72">
        <f>IF(ArrcoCoefOn=0,1,IF(J$8&gt;=Rt_AgeTauxPlein+4,1.3,IF(J$8&gt;=Rt_AgeTauxPlein+3,1.2,IF(J$8&gt;=Rt_AgeTauxPlein+2,1.1,1))))</f>
        <v/>
      </c>
    </row>
    <row r="26">
      <c r="B26" s="9" t="inlineStr">
        <is>
          <t>Pension complémentaire annuelle brute</t>
        </is>
      </c>
      <c r="D26" s="69">
        <f>D$24*ArrcoService*D$25</f>
        <v/>
      </c>
      <c r="E26" s="69">
        <f>E$24*ArrcoService*E$25</f>
        <v/>
      </c>
      <c r="F26" s="69">
        <f>F$24*ArrcoService*F$25</f>
        <v/>
      </c>
      <c r="G26" s="69">
        <f>G$24*ArrcoService*G$25</f>
        <v/>
      </c>
      <c r="H26" s="69">
        <f>H$24*ArrcoService*H$25</f>
        <v/>
      </c>
      <c r="I26" s="69">
        <f>I$24*ArrcoService*I$25</f>
        <v/>
      </c>
      <c r="J26" s="70">
        <f>J$24*ArrcoService*J$25</f>
        <v/>
      </c>
    </row>
    <row r="27">
      <c r="B27" s="9" t="inlineStr">
        <is>
          <t xml:space="preserve">    Majoration familiale (3 enfants et plus)</t>
        </is>
      </c>
      <c r="D27" s="69">
        <f>IF(Rt_NbEnfants&gt;=3,MIN(D$26*ArrcoMajFam,ArrcoMajPlafond),0)</f>
        <v/>
      </c>
      <c r="E27" s="69">
        <f>IF(Rt_NbEnfants&gt;=3,MIN(E$26*ArrcoMajFam,ArrcoMajPlafond),0)</f>
        <v/>
      </c>
      <c r="F27" s="69">
        <f>IF(Rt_NbEnfants&gt;=3,MIN(F$26*ArrcoMajFam,ArrcoMajPlafond),0)</f>
        <v/>
      </c>
      <c r="G27" s="69">
        <f>IF(Rt_NbEnfants&gt;=3,MIN(G$26*ArrcoMajFam,ArrcoMajPlafond),0)</f>
        <v/>
      </c>
      <c r="H27" s="69">
        <f>IF(Rt_NbEnfants&gt;=3,MIN(H$26*ArrcoMajFam,ArrcoMajPlafond),0)</f>
        <v/>
      </c>
      <c r="I27" s="69">
        <f>IF(Rt_NbEnfants&gt;=3,MIN(I$26*ArrcoMajFam,ArrcoMajPlafond),0)</f>
        <v/>
      </c>
      <c r="J27" s="70">
        <f>IF(Rt_NbEnfants&gt;=3,MIN(J$26*ArrcoMajFam,ArrcoMajPlafond),0)</f>
        <v/>
      </c>
    </row>
    <row r="28">
      <c r="B28" s="17" t="inlineStr">
        <is>
          <t>PENSION COMPLÉMENTAIRE BRUTE (annuelle)</t>
        </is>
      </c>
      <c r="D28" s="42">
        <f>D$26+D$27</f>
        <v/>
      </c>
      <c r="E28" s="42">
        <f>E$26+E$27</f>
        <v/>
      </c>
      <c r="F28" s="42">
        <f>F$26+F$27</f>
        <v/>
      </c>
      <c r="G28" s="42">
        <f>G$26+G$27</f>
        <v/>
      </c>
      <c r="H28" s="42">
        <f>H$26+H$27</f>
        <v/>
      </c>
      <c r="I28" s="42">
        <f>I$26+I$27</f>
        <v/>
      </c>
      <c r="J28" s="42">
        <f>J$26+J$27</f>
        <v/>
      </c>
    </row>
    <row r="30">
      <c r="B30" s="17" t="inlineStr">
        <is>
          <t>TOTAL BRUT ANNUEL</t>
        </is>
      </c>
      <c r="D30" s="42">
        <f>D$22+D$28</f>
        <v/>
      </c>
      <c r="E30" s="42">
        <f>E$22+E$28</f>
        <v/>
      </c>
      <c r="F30" s="42">
        <f>F$22+F$28</f>
        <v/>
      </c>
      <c r="G30" s="42">
        <f>G$22+G$28</f>
        <v/>
      </c>
      <c r="H30" s="42">
        <f>H$22+H$28</f>
        <v/>
      </c>
      <c r="I30" s="42">
        <f>I$22+I$28</f>
        <v/>
      </c>
      <c r="J30" s="42">
        <f>J$22+J$28</f>
        <v/>
      </c>
    </row>
    <row r="31">
      <c r="B31" s="9" t="inlineStr">
        <is>
          <t>Total brut mensuel</t>
        </is>
      </c>
      <c r="D31" s="69">
        <f>D$30/12</f>
        <v/>
      </c>
      <c r="E31" s="69">
        <f>E$30/12</f>
        <v/>
      </c>
      <c r="F31" s="69">
        <f>F$30/12</f>
        <v/>
      </c>
      <c r="G31" s="69">
        <f>G$30/12</f>
        <v/>
      </c>
      <c r="H31" s="69">
        <f>H$30/12</f>
        <v/>
      </c>
      <c r="I31" s="69">
        <f>I$30/12</f>
        <v/>
      </c>
      <c r="J31" s="70">
        <f>J$30/12</f>
        <v/>
      </c>
    </row>
    <row r="32">
      <c r="B32" s="9" t="inlineStr">
        <is>
          <t xml:space="preserve">    Prélèvements sociaux (CSG, CRDS, CASA, maladie)</t>
        </is>
      </c>
      <c r="D32" s="69">
        <f>-(D$22*PS_Base+D$28*PS_Comp)</f>
        <v/>
      </c>
      <c r="E32" s="69">
        <f>-(E$22*PS_Base+E$28*PS_Comp)</f>
        <v/>
      </c>
      <c r="F32" s="69">
        <f>-(F$22*PS_Base+F$28*PS_Comp)</f>
        <v/>
      </c>
      <c r="G32" s="69">
        <f>-(G$22*PS_Base+G$28*PS_Comp)</f>
        <v/>
      </c>
      <c r="H32" s="69">
        <f>-(H$22*PS_Base+H$28*PS_Comp)</f>
        <v/>
      </c>
      <c r="I32" s="69">
        <f>-(I$22*PS_Base+I$28*PS_Comp)</f>
        <v/>
      </c>
      <c r="J32" s="70">
        <f>-(J$22*PS_Base+J$28*PS_Comp)</f>
        <v/>
      </c>
    </row>
    <row r="33">
      <c r="B33" s="9" t="inlineStr">
        <is>
          <t>TOTAL NET ANNUEL</t>
        </is>
      </c>
      <c r="D33" s="69">
        <f>D$30+D$32</f>
        <v/>
      </c>
      <c r="E33" s="69">
        <f>E$30+E$32</f>
        <v/>
      </c>
      <c r="F33" s="69">
        <f>F$30+F$32</f>
        <v/>
      </c>
      <c r="G33" s="69">
        <f>G$30+G$32</f>
        <v/>
      </c>
      <c r="H33" s="69">
        <f>H$30+H$32</f>
        <v/>
      </c>
      <c r="I33" s="69">
        <f>I$30+I$32</f>
        <v/>
      </c>
      <c r="J33" s="70">
        <f>J$30+J$32</f>
        <v/>
      </c>
    </row>
    <row r="34">
      <c r="B34" s="17" t="inlineStr">
        <is>
          <t>PENSION NETTE MENSUELLE</t>
        </is>
      </c>
      <c r="D34" s="42">
        <f>D$33/12</f>
        <v/>
      </c>
      <c r="E34" s="42">
        <f>E$33/12</f>
        <v/>
      </c>
      <c r="F34" s="42">
        <f>F$33/12</f>
        <v/>
      </c>
      <c r="G34" s="42">
        <f>G$33/12</f>
        <v/>
      </c>
      <c r="H34" s="42">
        <f>H$33/12</f>
        <v/>
      </c>
      <c r="I34" s="42">
        <f>I$33/12</f>
        <v/>
      </c>
      <c r="J34" s="42">
        <f>J$33/12</f>
        <v/>
      </c>
    </row>
    <row r="35">
      <c r="B35" s="9" t="inlineStr">
        <is>
          <t xml:space="preserve">    Revenu net mensuel actuel</t>
        </is>
      </c>
      <c r="D35" s="69">
        <f>Rt_RevNetMens</f>
        <v/>
      </c>
      <c r="E35" s="69">
        <f>Rt_RevNetMens</f>
        <v/>
      </c>
      <c r="F35" s="69">
        <f>Rt_RevNetMens</f>
        <v/>
      </c>
      <c r="G35" s="69">
        <f>Rt_RevNetMens</f>
        <v/>
      </c>
      <c r="H35" s="69">
        <f>Rt_RevNetMens</f>
        <v/>
      </c>
      <c r="I35" s="69">
        <f>Rt_RevNetMens</f>
        <v/>
      </c>
      <c r="J35" s="70">
        <f>Rt_RevNetMens</f>
        <v/>
      </c>
    </row>
    <row r="36">
      <c r="B36" s="17" t="inlineStr">
        <is>
          <t>TAUX DE REMPLACEMENT (net / net)</t>
        </is>
      </c>
      <c r="D36" s="34">
        <f>IF(D$35=0,0,D$34/D$35)</f>
        <v/>
      </c>
      <c r="E36" s="34">
        <f>IF(E$35=0,0,E$34/E$35)</f>
        <v/>
      </c>
      <c r="F36" s="34">
        <f>IF(F$35=0,0,F$34/F$35)</f>
        <v/>
      </c>
      <c r="G36" s="34">
        <f>IF(G$35=0,0,G$34/G$35)</f>
        <v/>
      </c>
      <c r="H36" s="34">
        <f>IF(H$35=0,0,H$34/H$35)</f>
        <v/>
      </c>
      <c r="I36" s="34">
        <f>IF(I$35=0,0,I$34/I$35)</f>
        <v/>
      </c>
      <c r="J36" s="34">
        <f>IF(J$35=0,0,J$34/J$35)</f>
        <v/>
      </c>
    </row>
    <row r="38">
      <c r="B38" s="24" t="inlineStr">
        <is>
          <t>Gain d'un report d'un an (pension nette mensuelle)</t>
        </is>
      </c>
      <c r="D38" s="26">
        <f>"—"</f>
        <v/>
      </c>
      <c r="E38" s="32">
        <f>E$34-D$34</f>
        <v/>
      </c>
      <c r="F38" s="32">
        <f>F$34-E$34</f>
        <v/>
      </c>
      <c r="G38" s="32">
        <f>G$34-F$34</f>
        <v/>
      </c>
      <c r="H38" s="32">
        <f>H$34-G$34</f>
        <v/>
      </c>
      <c r="I38" s="32">
        <f>I$34-H$34</f>
        <v/>
      </c>
    </row>
    <row r="40">
      <c r="B40" s="21" t="inlineStr">
        <is>
          <t>Décote : 1,25 point par trimestre manquant, dans la limite de 20 trimestres, le nombre retenu étant le PLUS FAIBLE entre les trimestres manquants et les trimestres restant jusqu'à l'âge du taux plein automatique.</t>
        </is>
      </c>
    </row>
    <row r="41">
      <c r="B41" s="21" t="inlineStr">
        <is>
          <t>Surcote : 1,25 point par trimestre cotisé au-delà de la durée requise ET de l'âge légal.</t>
        </is>
      </c>
    </row>
    <row r="42">
      <c r="B42" s="21" t="inlineStr">
        <is>
          <t>Non modélisés : minimum contributif, pensions de réversion, périodes à l'étranger, polypensionnés hors régime général, rachats de trimestres, plafonnement du cumul emploi-retraite. Estimation indicative — seule la caisse de retraite fait foi.</t>
        </is>
      </c>
    </row>
  </sheetData>
  <printOptions horizontalCentered="1"/>
  <pageMargins left="0.75" right="0.75" top="1" bottom="1" header="0.5" footer="0.5"/>
  <pageSetup orientation="landscape" fitToHeight="0" fitToWidth="1"/>
</worksheet>
</file>

<file path=xl/worksheets/sheet9.xml><?xml version="1.0" encoding="utf-8"?>
<worksheet xmlns="http://schemas.openxmlformats.org/spreadsheetml/2006/main">
  <sheetPr>
    <tabColor rgb="001F7A4D"/>
    <outlinePr summaryBelow="1" summaryRight="1"/>
    <pageSetUpPr fitToPage="1"/>
  </sheetPr>
  <dimension ref="A1:K72"/>
  <sheetViews>
    <sheetView showGridLines="0" zoomScale="95" workbookViewId="0">
      <pane ySplit="4" topLeftCell="A5" activePane="bottomLeft" state="frozen"/>
      <selection pane="bottomLeft" activeCell="A1" sqref="A1"/>
    </sheetView>
  </sheetViews>
  <sheetFormatPr baseColWidth="8" defaultRowHeight="15"/>
  <cols>
    <col width="2" customWidth="1" min="1" max="1"/>
    <col width="56" customWidth="1" min="2" max="2"/>
    <col width="18" customWidth="1" min="3" max="3"/>
    <col width="16" customWidth="1" min="4" max="4"/>
    <col width="16" customWidth="1" min="5" max="5"/>
    <col width="16" customWidth="1" min="6" max="6"/>
    <col width="16" customWidth="1" min="7" max="7"/>
    <col width="16" customWidth="1" min="8" max="8"/>
    <col width="16" customWidth="1" min="9" max="9"/>
    <col width="4" customWidth="1" min="10" max="10"/>
    <col width="62" customWidth="1" min="11" max="11"/>
  </cols>
  <sheetData>
    <row r="1" ht="30" customHeight="1">
      <c r="A1" s="1" t="inlineStr">
        <is>
          <t>RETRAITE — OBJECTIF DE REVENU ET EFFORT D'ÉPARGNE</t>
        </is>
      </c>
      <c r="B1" s="2" t="n"/>
      <c r="C1" s="2" t="n"/>
      <c r="D1" s="2" t="n"/>
      <c r="E1" s="2" t="n"/>
      <c r="F1" s="2" t="n"/>
      <c r="G1" s="2" t="n"/>
      <c r="H1" s="2" t="n"/>
      <c r="I1" s="2" t="n"/>
    </row>
    <row r="2" ht="14" customHeight="1">
      <c r="A2" s="3" t="inlineStr">
        <is>
          <t>Raisonnement en euros constants : les taux de rendement sont convertis en taux RÉELS (nets d'inflation). Les montants s'interprètent en pouvoir d'achat d'aujourd'hui.</t>
        </is>
      </c>
    </row>
    <row r="4" ht="20" customHeight="1">
      <c r="A4" s="4" t="inlineStr">
        <is>
          <t>1.  OBJECTIF DE REVENU À LA RETRAITE</t>
        </is>
      </c>
      <c r="B4" s="5" t="n"/>
      <c r="C4" s="5" t="n"/>
      <c r="D4" s="5" t="n"/>
      <c r="E4" s="5" t="n"/>
      <c r="F4" s="5" t="n"/>
      <c r="G4" s="5" t="n"/>
      <c r="H4" s="5" t="n"/>
      <c r="I4" s="5" t="n"/>
    </row>
    <row r="5">
      <c r="B5" s="9" t="inlineStr">
        <is>
          <t>Mode de définition de l'objectif</t>
        </is>
      </c>
      <c r="C5" s="8" t="inlineStr">
        <is>
          <t>Montant mensuel</t>
        </is>
      </c>
    </row>
    <row r="6">
      <c r="B6" s="9" t="inlineStr">
        <is>
          <t>Objectif — montant net mensuel souhaité (€ d'aujourd'hui)</t>
        </is>
      </c>
      <c r="C6" s="30" t="n">
        <v>3800</v>
      </c>
    </row>
    <row r="7">
      <c r="B7" s="9" t="inlineStr">
        <is>
          <t>Objectif — en % du revenu net actuel</t>
        </is>
      </c>
      <c r="C7" s="38" t="n">
        <v>0.75</v>
      </c>
    </row>
    <row r="8">
      <c r="B8" s="17" t="inlineStr">
        <is>
          <t>OBJECTIF RETENU (€ nets / mois)</t>
        </is>
      </c>
      <c r="C8" s="42">
        <f>IF(Ob_Mode="Montant mensuel",Ob_Montant,Ob_Pct*Rt_RevNetMens)</f>
        <v/>
      </c>
    </row>
    <row r="10" ht="20" customHeight="1">
      <c r="A10" s="4" t="inlineStr">
        <is>
          <t>2.  RESSOURCES ESTIMÉES ET ÉCART À COMBLER</t>
        </is>
      </c>
      <c r="B10" s="5" t="n"/>
      <c r="C10" s="5" t="n"/>
      <c r="D10" s="5" t="n"/>
      <c r="E10" s="5" t="n"/>
      <c r="F10" s="5" t="n"/>
      <c r="G10" s="5" t="n"/>
      <c r="H10" s="5" t="n"/>
      <c r="I10" s="5" t="n"/>
    </row>
    <row r="11">
      <c r="B11" s="9" t="inlineStr">
        <is>
          <t>Pension nette mensuelle estimée (âge de départ envisagé)</t>
        </is>
      </c>
      <c r="C11" s="45">
        <f>Rt_PensionNetteMens</f>
        <v/>
      </c>
    </row>
    <row r="12">
      <c r="B12" s="9" t="inlineStr">
        <is>
          <t>Autres revenus nets mensuels attendus (loyers, pension du conjoint…)</t>
        </is>
      </c>
      <c r="C12" s="30" t="n">
        <v>400</v>
      </c>
    </row>
    <row r="13">
      <c r="B13" s="17" t="inlineStr">
        <is>
          <t>TOTAL DES RESSOURCES</t>
        </is>
      </c>
      <c r="C13" s="73">
        <f>Rt_PensionNetteMens+Ob_AutresRevenus</f>
        <v/>
      </c>
    </row>
    <row r="14">
      <c r="B14" s="17" t="inlineStr">
        <is>
          <t>ÉCART MENSUEL À COMBLER</t>
        </is>
      </c>
      <c r="C14" s="42">
        <f>MAX(0,Ob_Objectif-Ob_Ressources)</f>
        <v/>
      </c>
    </row>
    <row r="15">
      <c r="B15" s="24" t="inlineStr">
        <is>
          <t>Écart annuel</t>
        </is>
      </c>
      <c r="C15" s="32">
        <f>Ob_EcartMens*12</f>
        <v/>
      </c>
    </row>
    <row r="16">
      <c r="B16" s="24" t="inlineStr">
        <is>
          <t>Taux de remplacement avant effort d'épargne</t>
        </is>
      </c>
      <c r="C16" s="33">
        <f>IF(Rt_RevNetMens=0,0,Ob_Ressources/Rt_RevNetMens)</f>
        <v/>
      </c>
    </row>
    <row r="18" ht="20" customHeight="1">
      <c r="A18" s="4" t="inlineStr">
        <is>
          <t>3.  CAPITAL NÉCESSAIRE AU JOUR DU DÉPART</t>
        </is>
      </c>
      <c r="B18" s="5" t="n"/>
      <c r="C18" s="5" t="n"/>
      <c r="D18" s="5" t="n"/>
      <c r="E18" s="5" t="n"/>
      <c r="F18" s="5" t="n"/>
      <c r="G18" s="5" t="n"/>
      <c r="H18" s="5" t="n"/>
      <c r="I18" s="5" t="n"/>
    </row>
    <row r="19">
      <c r="B19" s="9" t="inlineStr">
        <is>
          <t>Méthode de restitution du capital</t>
        </is>
      </c>
      <c r="C19" s="8" t="inlineStr">
        <is>
          <t>Consommation du capital</t>
        </is>
      </c>
      <c r="K19" s="21" t="inlineStr">
        <is>
          <t>Consommation : le capital est épuisé à l'âge de fin de besoin. Rente viagère : conversion auprès d'un assureur, capital aliéné. Capital préservé : seuls les revenus sont consommés, le capital est transmis.</t>
        </is>
      </c>
    </row>
    <row r="20">
      <c r="B20" s="24" t="inlineStr">
        <is>
          <t>Âge de départ retenu</t>
        </is>
      </c>
      <c r="C20" s="74">
        <f>Rt_AgeDepart</f>
        <v/>
      </c>
    </row>
    <row r="21">
      <c r="B21" s="24" t="inlineStr">
        <is>
          <t>Âge de fin du besoin de revenu</t>
        </is>
      </c>
      <c r="C21" s="46">
        <f>EsperanceVie</f>
        <v/>
      </c>
    </row>
    <row r="22">
      <c r="B22" s="24" t="inlineStr">
        <is>
          <t>Durée de la phase de restitution (années)</t>
        </is>
      </c>
      <c r="C22" s="74">
        <f>MAX(0,EsperanceVie-Rt_AgeDepart)</f>
        <v/>
      </c>
    </row>
    <row r="23">
      <c r="B23" s="24" t="inlineStr">
        <is>
          <t>Taux de rendement RÉEL net en restitution</t>
        </is>
      </c>
      <c r="C23" s="75">
        <f>(1+RendRestit)/(1+Inflation)-1</f>
        <v/>
      </c>
    </row>
    <row r="24">
      <c r="B24" s="17" t="inlineStr">
        <is>
          <t>CAPITAL NÉCESSAIRE AU DÉPART</t>
        </is>
      </c>
      <c r="C24" s="42">
        <f>IF(Ob_EcartAn=0,0,IF(Ob_Methode="Rente viagère",IF(TauxRente=0,0,Ob_EcartAn/TauxRente),IF(Ob_Methode="Capital préservé",IF(Ob_TauxReelRestit&lt;=0,Ob_EcartAn*Ob_DureeRestit,Ob_EcartAn/Ob_TauxReelRestit),IF(ABS(Ob_TauxReelRestit)&lt;0.000001,Ob_EcartAn*Ob_DureeRestit,Ob_EcartAn*(1-(1+Ob_TauxReelRestit)^-Ob_DureeRestit)/Ob_TauxReelRestit))))</f>
        <v/>
      </c>
    </row>
    <row r="26" ht="20" customHeight="1">
      <c r="A26" s="4" t="inlineStr">
        <is>
          <t>4.  RESSOURCES DÉJÀ CONSTITUÉES</t>
        </is>
      </c>
      <c r="B26" s="5" t="n"/>
      <c r="C26" s="5" t="n"/>
      <c r="D26" s="5" t="n"/>
      <c r="E26" s="5" t="n"/>
      <c r="F26" s="5" t="n"/>
      <c r="G26" s="5" t="n"/>
      <c r="H26" s="5" t="n"/>
      <c r="I26" s="5" t="n"/>
    </row>
    <row r="27">
      <c r="B27" s="9" t="inlineStr">
        <is>
          <t>Épargne déjà dédiée à la retraite (€ aujourd'hui)</t>
        </is>
      </c>
      <c r="C27" s="30" t="n">
        <v>118000</v>
      </c>
      <c r="K27" s="21" t="inlineStr">
        <is>
          <t>PER, assurance-vie, PEA, comptes-titres — uniquement la part réellement affectée au projet retraite (n'y intégrez pas la résidence principale).</t>
        </is>
      </c>
    </row>
    <row r="28">
      <c r="B28" s="9" t="inlineStr">
        <is>
          <t>Versements mensuels déjà en place (€)</t>
        </is>
      </c>
      <c r="C28" s="30" t="n">
        <v>150</v>
      </c>
    </row>
    <row r="29">
      <c r="B29" s="24" t="inlineStr">
        <is>
          <t>Nombre d'années jusqu'au départ</t>
        </is>
      </c>
      <c r="C29" s="63">
        <f>MAX(0,Rt_AgeDepart-Rt_AgeActuel)</f>
        <v/>
      </c>
    </row>
    <row r="30">
      <c r="B30" s="24" t="inlineStr">
        <is>
          <t>Nombre de mois jusqu'au départ</t>
        </is>
      </c>
      <c r="C30" s="25">
        <f>Ob_AnneesRestantes*12</f>
        <v/>
      </c>
    </row>
    <row r="31">
      <c r="B31" s="24" t="inlineStr">
        <is>
          <t>Taux de rendement RÉEL net en constitution</t>
        </is>
      </c>
      <c r="C31" s="76">
        <f>(1+RendConstit)/(1+Inflation)-1</f>
        <v/>
      </c>
    </row>
    <row r="32">
      <c r="B32" s="24" t="inlineStr">
        <is>
          <t>Taux réel mensuel équivalent</t>
        </is>
      </c>
      <c r="C32" s="77">
        <f>(1+Ob_TauxReelConstit)^(1/12)-1</f>
        <v/>
      </c>
    </row>
    <row r="33">
      <c r="B33" s="17" t="inlineStr">
        <is>
          <t>Capital projeté au départ (€ constants)</t>
        </is>
      </c>
      <c r="C33" s="73">
        <f>Ob_EpargneActuelle*(1+Ob_TauxMensuel)^Ob_MoisRestants+IF(Ob_MoisRestants=0,0,IF(ABS(Ob_TauxMensuel)&lt;0.0000001,Ob_VersementsActuels*Ob_MoisRestants,Ob_VersementsActuels*((1+Ob_TauxMensuel)^Ob_MoisRestants-1)/Ob_TauxMensuel))</f>
        <v/>
      </c>
    </row>
    <row r="34">
      <c r="B34" s="17" t="inlineStr">
        <is>
          <t>CAPITAL RESTANT À CONSTITUER</t>
        </is>
      </c>
      <c r="C34" s="42">
        <f>MAX(0,Ob_CapitalNecessaire-Ob_CapitalProjete)</f>
        <v/>
      </c>
    </row>
    <row r="36" ht="20" customHeight="1">
      <c r="A36" s="4" t="inlineStr">
        <is>
          <t>5.  EFFORT D'ÉPARGNE À METTRE EN PLACE</t>
        </is>
      </c>
      <c r="B36" s="5" t="n"/>
      <c r="C36" s="5" t="n"/>
      <c r="D36" s="5" t="n"/>
      <c r="E36" s="5" t="n"/>
      <c r="F36" s="5" t="n"/>
      <c r="G36" s="5" t="n"/>
      <c r="H36" s="5" t="n"/>
      <c r="I36" s="5" t="n"/>
    </row>
    <row r="37">
      <c r="B37" s="17" t="inlineStr">
        <is>
          <t>EFFORT MENSUEL SUPPLÉMENTAIRE (versements constants)</t>
        </is>
      </c>
      <c r="C37" s="42">
        <f>IF(Ob_MoisRestants&lt;=0,0,IF(ABS(Ob_TauxMensuel)&lt;0.0000001,Ob_CapitalManquant/Ob_MoisRestants,Ob_CapitalManquant*Ob_TauxMensuel/((1+Ob_TauxMensuel)^Ob_MoisRestants-1)))</f>
        <v/>
      </c>
    </row>
    <row r="38">
      <c r="B38" s="24" t="inlineStr">
        <is>
          <t>Effort annuel</t>
        </is>
      </c>
      <c r="C38" s="32">
        <f>Ob_EffortMensuel*12</f>
        <v/>
      </c>
    </row>
    <row r="39">
      <c r="B39" s="24" t="inlineStr">
        <is>
          <t>Effort en % du revenu net actuel</t>
        </is>
      </c>
      <c r="C39" s="33">
        <f>IF(Rt_RevNetMens=0,0,Ob_EffortMensuel/Rt_RevNetMens)</f>
        <v/>
      </c>
    </row>
    <row r="40">
      <c r="B40" s="24" t="inlineStr">
        <is>
          <t>Versement unique équivalent aujourd'hui</t>
        </is>
      </c>
      <c r="C40" s="32">
        <f>Ob_CapitalManquant/(1+Ob_TauxMensuel)^Ob_MoisRestants</f>
        <v/>
      </c>
    </row>
    <row r="41" ht="46" customHeight="1">
      <c r="B41" s="9" t="inlineStr">
        <is>
          <t>Diagnostic</t>
        </is>
      </c>
      <c r="C41" s="13">
        <f>IF(Ob_EcartMens=0,"✅ Les ressources estimées couvrent déjà l'objectif : aucun effort d'épargne nécessaire.",IF(Ob_CapitalManquant=0,"✅ Le capital déjà constitué suffit à couvrir l'écart de revenu.",IF(Ob_EffortMensuel&gt;0.25*Rt_RevNetMens,"⚠️ L'effort dépasse 25 % du revenu net actuel : révisez l'objectif, décalez l'âge de départ ou allongez la durée d'épargne.","Effort soutenable au regard du revenu actuel — à confronter à la capacité d'épargne réelle du client.")))</f>
        <v/>
      </c>
      <c r="D41" s="61" t="n"/>
      <c r="E41" s="61" t="n"/>
      <c r="F41" s="61" t="n"/>
      <c r="G41" s="61" t="n"/>
      <c r="H41" s="62" t="n"/>
    </row>
    <row r="43" ht="20" customHeight="1">
      <c r="A43" s="4" t="inlineStr">
        <is>
          <t>6.  CHOIX DE L'ENVELOPPE D'ÉPARGNE</t>
        </is>
      </c>
      <c r="B43" s="5" t="n"/>
      <c r="C43" s="5" t="n"/>
      <c r="D43" s="5" t="n"/>
      <c r="E43" s="5" t="n"/>
      <c r="F43" s="5" t="n"/>
      <c r="G43" s="5" t="n"/>
      <c r="H43" s="5" t="n"/>
      <c r="I43" s="5" t="n"/>
    </row>
    <row r="44">
      <c r="B44" s="9" t="inlineStr">
        <is>
          <t>Taux marginal d'imposition du foyer</t>
        </is>
      </c>
      <c r="C44" s="78">
        <f>TMI</f>
        <v/>
      </c>
    </row>
    <row r="45">
      <c r="B45" s="24" t="inlineStr">
        <is>
          <t>Plafond annuel de déduction PER disponible</t>
        </is>
      </c>
      <c r="C45" s="32">
        <f>MAX(PER_PlancherPASS*PASS_N1,MIN(PER_Taux*Rt_SalaireBrut,PER_Taux*PER_PlafondPASS*PASS_N1))</f>
        <v/>
      </c>
      <c r="K45" s="22" t="inlineStr">
        <is>
          <t>ℹ️ 10 % des revenus professionnels de l'année précédente, dans la limite de 8 PASS N-1, avec un plancher de 10 % du PASS N-1. Hors reliquats des trois années précédentes et hors mutualisation avec le conjoint.</t>
        </is>
      </c>
    </row>
    <row r="46" ht="28" customHeight="1">
      <c r="B46" s="14" t="inlineStr">
        <is>
          <t>Enveloppe</t>
        </is>
      </c>
      <c r="C46" s="14" t="inlineStr">
        <is>
          <t>Versement annuel</t>
        </is>
      </c>
      <c r="D46" s="14" t="inlineStr">
        <is>
          <t>Économie d'impôt à l'entrée</t>
        </is>
      </c>
      <c r="E46" s="14" t="inlineStr">
        <is>
          <t>Effort net réel annuel</t>
        </is>
      </c>
      <c r="F46" s="14" t="inlineStr">
        <is>
          <t>Fiscalité à la sortie</t>
        </is>
      </c>
      <c r="G46" s="62" t="n"/>
      <c r="H46" s="14" t="inlineStr">
        <is>
          <t>Disponibilité</t>
        </is>
      </c>
      <c r="I46" s="62" t="n"/>
    </row>
    <row r="47" ht="54" customHeight="1">
      <c r="B47" s="79" t="inlineStr">
        <is>
          <t>PER individuel</t>
        </is>
      </c>
      <c r="C47" s="69">
        <f>MIN(Ob_EffortAnnuel,Ob_PlafondPER)</f>
        <v/>
      </c>
      <c r="D47" s="69">
        <f>MIN(Ob_EffortAnnuel,Ob_PlafondPER)*TMI</f>
        <v/>
      </c>
      <c r="E47" s="80">
        <f>C47-D47</f>
        <v/>
      </c>
      <c r="F47" s="81" t="inlineStr">
        <is>
          <t>Capital : IR au barème sur les versements + PFU 30 % sur les gains. Rente : régime des pensions.</t>
        </is>
      </c>
      <c r="G47" s="62" t="n"/>
      <c r="H47" s="81" t="inlineStr">
        <is>
          <t>Bloqué jusqu'à la retraite (sauf achat de la résidence principale et accidents de la vie)</t>
        </is>
      </c>
      <c r="I47" s="62" t="n"/>
    </row>
    <row r="48" ht="54" customHeight="1">
      <c r="B48" s="79" t="inlineStr">
        <is>
          <t>Assurance-vie</t>
        </is>
      </c>
      <c r="C48" s="69">
        <f>Ob_EffortAnnuel</f>
        <v/>
      </c>
      <c r="D48" s="69">
        <f>0</f>
        <v/>
      </c>
      <c r="E48" s="80">
        <f>C48-D48</f>
        <v/>
      </c>
      <c r="F48" s="81" t="inlineStr">
        <is>
          <t>Après 8 ans : abattement annuel de 4 600 € / 9 200 €, puis 7,5 % + 17,2 % de prélèvements sociaux.</t>
        </is>
      </c>
      <c r="G48" s="62" t="n"/>
      <c r="H48" s="81" t="inlineStr">
        <is>
          <t>Disponible à tout moment</t>
        </is>
      </c>
      <c r="I48" s="62" t="n"/>
    </row>
    <row r="49" ht="54" customHeight="1">
      <c r="B49" s="79" t="inlineStr">
        <is>
          <t>PEA</t>
        </is>
      </c>
      <c r="C49" s="69">
        <f>Ob_EffortAnnuel</f>
        <v/>
      </c>
      <c r="D49" s="69">
        <f>0</f>
        <v/>
      </c>
      <c r="E49" s="80">
        <f>C49-D49</f>
        <v/>
      </c>
      <c r="F49" s="81" t="inlineStr">
        <is>
          <t>Après 5 ans : exonération d'IR, 17,2 % de prélèvements sociaux sur les gains.</t>
        </is>
      </c>
      <c r="G49" s="62" t="n"/>
      <c r="H49" s="81" t="inlineStr">
        <is>
          <t>Disponible (retrait avant 5 ans = clôture)</t>
        </is>
      </c>
      <c r="I49" s="62" t="n"/>
    </row>
    <row r="50" ht="54" customHeight="1">
      <c r="B50" s="79" t="inlineStr">
        <is>
          <t>Immobilier locatif / SCPI</t>
        </is>
      </c>
      <c r="C50" s="69">
        <f>Ob_EffortAnnuel</f>
        <v/>
      </c>
      <c r="D50" s="69">
        <f>0</f>
        <v/>
      </c>
      <c r="E50" s="80">
        <f>C50-D50</f>
        <v/>
      </c>
      <c r="F50" s="81" t="inlineStr">
        <is>
          <t>Revenus fonciers au barème + prélèvements sociaux ; plus-value immobilière à la revente.</t>
        </is>
      </c>
      <c r="G50" s="62" t="n"/>
      <c r="H50" s="81" t="inlineStr">
        <is>
          <t>Faible (revente longue, SCPI peu liquides)</t>
        </is>
      </c>
      <c r="I50" s="62" t="n"/>
    </row>
    <row r="52">
      <c r="B52" s="21" t="inlineStr">
        <is>
          <t>L'économie d'impôt du PER est un DIFFÉRÉ d'imposition, pas un gain définitif : les versements déduits sont réimposés à la sortie. L'arbitrage dépend de l'écart entre la TMI d'aujourd'hui et celle attendue à la retraite.</t>
        </is>
      </c>
    </row>
    <row r="54" ht="20" customHeight="1">
      <c r="A54" s="4" t="inlineStr">
        <is>
          <t>7.  SENSIBILITÉ À L'ÂGE DE DÉPART</t>
        </is>
      </c>
      <c r="B54" s="5" t="n"/>
      <c r="C54" s="5" t="n"/>
      <c r="D54" s="5" t="n"/>
      <c r="E54" s="5" t="n"/>
      <c r="F54" s="5" t="n"/>
      <c r="G54" s="5" t="n"/>
      <c r="H54" s="5" t="n"/>
      <c r="I54" s="5" t="n"/>
    </row>
    <row r="55">
      <c r="B55" s="58" t="inlineStr">
        <is>
          <t>Effet d'un report du départ sur l'effort d'épargne, à objectif de revenu inchangé.</t>
        </is>
      </c>
    </row>
    <row r="56" ht="28" customHeight="1">
      <c r="B56" s="14" t="inlineStr"/>
      <c r="C56" s="14" t="inlineStr"/>
      <c r="D56" s="14" t="inlineStr">
        <is>
          <t>62 ans</t>
        </is>
      </c>
      <c r="E56" s="14" t="inlineStr">
        <is>
          <t>63 ans</t>
        </is>
      </c>
      <c r="F56" s="14" t="inlineStr">
        <is>
          <t>64 ans</t>
        </is>
      </c>
      <c r="G56" s="14" t="inlineStr">
        <is>
          <t>65 ans</t>
        </is>
      </c>
      <c r="H56" s="14" t="inlineStr">
        <is>
          <t>66 ans</t>
        </is>
      </c>
      <c r="I56" s="14" t="inlineStr">
        <is>
          <t>67 ans</t>
        </is>
      </c>
    </row>
    <row r="57">
      <c r="B57" s="24" t="inlineStr">
        <is>
          <t>Âge de départ</t>
        </is>
      </c>
      <c r="D57" s="71">
        <f>INDEX(Rt_ScenAges,1)</f>
        <v/>
      </c>
      <c r="E57" s="71">
        <f>INDEX(Rt_ScenAges,2)</f>
        <v/>
      </c>
      <c r="F57" s="71">
        <f>INDEX(Rt_ScenAges,3)</f>
        <v/>
      </c>
      <c r="G57" s="71">
        <f>INDEX(Rt_ScenAges,4)</f>
        <v/>
      </c>
      <c r="H57" s="71">
        <f>INDEX(Rt_ScenAges,5)</f>
        <v/>
      </c>
      <c r="I57" s="71">
        <f>INDEX(Rt_ScenAges,6)</f>
        <v/>
      </c>
    </row>
    <row r="58">
      <c r="B58" s="24" t="inlineStr">
        <is>
          <t>Départ possible au regard de l'âge légal ?</t>
        </is>
      </c>
      <c r="D58" s="10">
        <f>IF(D$57&lt;Rt_AgeLegal,"NON","Oui")</f>
        <v/>
      </c>
      <c r="E58" s="10">
        <f>IF(E$57&lt;Rt_AgeLegal,"NON","Oui")</f>
        <v/>
      </c>
      <c r="F58" s="10">
        <f>IF(F$57&lt;Rt_AgeLegal,"NON","Oui")</f>
        <v/>
      </c>
      <c r="G58" s="10">
        <f>IF(G$57&lt;Rt_AgeLegal,"NON","Oui")</f>
        <v/>
      </c>
      <c r="H58" s="10">
        <f>IF(H$57&lt;Rt_AgeLegal,"NON","Oui")</f>
        <v/>
      </c>
      <c r="I58" s="10">
        <f>IF(I$57&lt;Rt_AgeLegal,"NON","Oui")</f>
        <v/>
      </c>
    </row>
    <row r="59">
      <c r="B59" s="24" t="inlineStr">
        <is>
          <t>Pension nette mensuelle estimée</t>
        </is>
      </c>
      <c r="D59" s="69">
        <f>INDEX(Rt_ScenPensionNetteMens,1)</f>
        <v/>
      </c>
      <c r="E59" s="69">
        <f>INDEX(Rt_ScenPensionNetteMens,2)</f>
        <v/>
      </c>
      <c r="F59" s="69">
        <f>INDEX(Rt_ScenPensionNetteMens,3)</f>
        <v/>
      </c>
      <c r="G59" s="69">
        <f>INDEX(Rt_ScenPensionNetteMens,4)</f>
        <v/>
      </c>
      <c r="H59" s="69">
        <f>INDEX(Rt_ScenPensionNetteMens,5)</f>
        <v/>
      </c>
      <c r="I59" s="69">
        <f>INDEX(Rt_ScenPensionNetteMens,6)</f>
        <v/>
      </c>
    </row>
    <row r="60">
      <c r="B60" s="24" t="inlineStr">
        <is>
          <t>Écart mensuel à combler</t>
        </is>
      </c>
      <c r="D60" s="69">
        <f>MAX(0,Ob_Objectif-D$59-Ob_AutresRevenus)</f>
        <v/>
      </c>
      <c r="E60" s="69">
        <f>MAX(0,Ob_Objectif-E$59-Ob_AutresRevenus)</f>
        <v/>
      </c>
      <c r="F60" s="69">
        <f>MAX(0,Ob_Objectif-F$59-Ob_AutresRevenus)</f>
        <v/>
      </c>
      <c r="G60" s="69">
        <f>MAX(0,Ob_Objectif-G$59-Ob_AutresRevenus)</f>
        <v/>
      </c>
      <c r="H60" s="69">
        <f>MAX(0,Ob_Objectif-H$59-Ob_AutresRevenus)</f>
        <v/>
      </c>
      <c r="I60" s="69">
        <f>MAX(0,Ob_Objectif-I$59-Ob_AutresRevenus)</f>
        <v/>
      </c>
    </row>
    <row r="61">
      <c r="B61" s="24" t="inlineStr">
        <is>
          <t>Durée de restitution (années)</t>
        </is>
      </c>
      <c r="D61" s="71">
        <f>MAX(0,EsperanceVie-D$57)</f>
        <v/>
      </c>
      <c r="E61" s="71">
        <f>MAX(0,EsperanceVie-E$57)</f>
        <v/>
      </c>
      <c r="F61" s="71">
        <f>MAX(0,EsperanceVie-F$57)</f>
        <v/>
      </c>
      <c r="G61" s="71">
        <f>MAX(0,EsperanceVie-G$57)</f>
        <v/>
      </c>
      <c r="H61" s="71">
        <f>MAX(0,EsperanceVie-H$57)</f>
        <v/>
      </c>
      <c r="I61" s="71">
        <f>MAX(0,EsperanceVie-I$57)</f>
        <v/>
      </c>
    </row>
    <row r="62">
      <c r="B62" s="24" t="inlineStr">
        <is>
          <t>Capital nécessaire au départ</t>
        </is>
      </c>
      <c r="D62" s="69">
        <f>IF(D$60=0,0,IF(ABS(Ob_TauxReelRestit)&lt;0.000001,D$60*12*D$61,D$60*12*(1-(1+Ob_TauxReelRestit)^-D$61)/Ob_TauxReelRestit))</f>
        <v/>
      </c>
      <c r="E62" s="69">
        <f>IF(E$60=0,0,IF(ABS(Ob_TauxReelRestit)&lt;0.000001,E$60*12*E$61,E$60*12*(1-(1+Ob_TauxReelRestit)^-E$61)/Ob_TauxReelRestit))</f>
        <v/>
      </c>
      <c r="F62" s="69">
        <f>IF(F$60=0,0,IF(ABS(Ob_TauxReelRestit)&lt;0.000001,F$60*12*F$61,F$60*12*(1-(1+Ob_TauxReelRestit)^-F$61)/Ob_TauxReelRestit))</f>
        <v/>
      </c>
      <c r="G62" s="69">
        <f>IF(G$60=0,0,IF(ABS(Ob_TauxReelRestit)&lt;0.000001,G$60*12*G$61,G$60*12*(1-(1+Ob_TauxReelRestit)^-G$61)/Ob_TauxReelRestit))</f>
        <v/>
      </c>
      <c r="H62" s="69">
        <f>IF(H$60=0,0,IF(ABS(Ob_TauxReelRestit)&lt;0.000001,H$60*12*H$61,H$60*12*(1-(1+Ob_TauxReelRestit)^-H$61)/Ob_TauxReelRestit))</f>
        <v/>
      </c>
      <c r="I62" s="69">
        <f>IF(I$60=0,0,IF(ABS(Ob_TauxReelRestit)&lt;0.000001,I$60*12*I$61,I$60*12*(1-(1+Ob_TauxReelRestit)^-I$61)/Ob_TauxReelRestit))</f>
        <v/>
      </c>
    </row>
    <row r="63">
      <c r="B63" s="24" t="inlineStr">
        <is>
          <t>Mois de constitution restants</t>
        </is>
      </c>
      <c r="D63" s="27">
        <f>MAX(0,(D$57-Rt_AgeActuel)*12)</f>
        <v/>
      </c>
      <c r="E63" s="27">
        <f>MAX(0,(E$57-Rt_AgeActuel)*12)</f>
        <v/>
      </c>
      <c r="F63" s="27">
        <f>MAX(0,(F$57-Rt_AgeActuel)*12)</f>
        <v/>
      </c>
      <c r="G63" s="27">
        <f>MAX(0,(G$57-Rt_AgeActuel)*12)</f>
        <v/>
      </c>
      <c r="H63" s="27">
        <f>MAX(0,(H$57-Rt_AgeActuel)*12)</f>
        <v/>
      </c>
      <c r="I63" s="27">
        <f>MAX(0,(I$57-Rt_AgeActuel)*12)</f>
        <v/>
      </c>
    </row>
    <row r="64">
      <c r="B64" s="24" t="inlineStr">
        <is>
          <t>Capital projeté au départ</t>
        </is>
      </c>
      <c r="D64" s="69">
        <f>Ob_EpargneActuelle*(1+Ob_TauxMensuel)^D$63+IF(D$63=0,0,Ob_VersementsActuels*((1+Ob_TauxMensuel)^D$63-1)/Ob_TauxMensuel)</f>
        <v/>
      </c>
      <c r="E64" s="69">
        <f>Ob_EpargneActuelle*(1+Ob_TauxMensuel)^E$63+IF(E$63=0,0,Ob_VersementsActuels*((1+Ob_TauxMensuel)^E$63-1)/Ob_TauxMensuel)</f>
        <v/>
      </c>
      <c r="F64" s="69">
        <f>Ob_EpargneActuelle*(1+Ob_TauxMensuel)^F$63+IF(F$63=0,0,Ob_VersementsActuels*((1+Ob_TauxMensuel)^F$63-1)/Ob_TauxMensuel)</f>
        <v/>
      </c>
      <c r="G64" s="69">
        <f>Ob_EpargneActuelle*(1+Ob_TauxMensuel)^G$63+IF(G$63=0,0,Ob_VersementsActuels*((1+Ob_TauxMensuel)^G$63-1)/Ob_TauxMensuel)</f>
        <v/>
      </c>
      <c r="H64" s="69">
        <f>Ob_EpargneActuelle*(1+Ob_TauxMensuel)^H$63+IF(H$63=0,0,Ob_VersementsActuels*((1+Ob_TauxMensuel)^H$63-1)/Ob_TauxMensuel)</f>
        <v/>
      </c>
      <c r="I64" s="69">
        <f>Ob_EpargneActuelle*(1+Ob_TauxMensuel)^I$63+IF(I$63=0,0,Ob_VersementsActuels*((1+Ob_TauxMensuel)^I$63-1)/Ob_TauxMensuel)</f>
        <v/>
      </c>
    </row>
    <row r="65">
      <c r="B65" s="24" t="inlineStr">
        <is>
          <t>Capital restant à constituer</t>
        </is>
      </c>
      <c r="D65" s="69">
        <f>MAX(0,D$62-D$64)</f>
        <v/>
      </c>
      <c r="E65" s="69">
        <f>MAX(0,E$62-E$64)</f>
        <v/>
      </c>
      <c r="F65" s="69">
        <f>MAX(0,F$62-F$64)</f>
        <v/>
      </c>
      <c r="G65" s="69">
        <f>MAX(0,G$62-G$64)</f>
        <v/>
      </c>
      <c r="H65" s="69">
        <f>MAX(0,H$62-H$64)</f>
        <v/>
      </c>
      <c r="I65" s="69">
        <f>MAX(0,I$62-I$64)</f>
        <v/>
      </c>
    </row>
    <row r="66">
      <c r="B66" s="17" t="inlineStr">
        <is>
          <t>EFFORT MENSUEL NÉCESSAIRE</t>
        </is>
      </c>
      <c r="D66" s="42">
        <f>IF(D$63&lt;=0,0,D$65*Ob_TauxMensuel/((1+Ob_TauxMensuel)^D$63-1))</f>
        <v/>
      </c>
      <c r="E66" s="42">
        <f>IF(E$63&lt;=0,0,E$65*Ob_TauxMensuel/((1+Ob_TauxMensuel)^E$63-1))</f>
        <v/>
      </c>
      <c r="F66" s="42">
        <f>IF(F$63&lt;=0,0,F$65*Ob_TauxMensuel/((1+Ob_TauxMensuel)^F$63-1))</f>
        <v/>
      </c>
      <c r="G66" s="42">
        <f>IF(G$63&lt;=0,0,G$65*Ob_TauxMensuel/((1+Ob_TauxMensuel)^G$63-1))</f>
        <v/>
      </c>
      <c r="H66" s="42">
        <f>IF(H$63&lt;=0,0,H$65*Ob_TauxMensuel/((1+Ob_TauxMensuel)^H$63-1))</f>
        <v/>
      </c>
      <c r="I66" s="42">
        <f>IF(I$63&lt;=0,0,I$65*Ob_TauxMensuel/((1+Ob_TauxMensuel)^I$63-1))</f>
        <v/>
      </c>
    </row>
    <row r="68" ht="20" customHeight="1">
      <c r="A68" s="4" t="inlineStr">
        <is>
          <t>8.  SENSIBILITÉ AU RENDEMENT RÉEL DE L'ÉPARGNE</t>
        </is>
      </c>
      <c r="B68" s="5" t="n"/>
      <c r="C68" s="5" t="n"/>
      <c r="D68" s="5" t="n"/>
      <c r="E68" s="5" t="n"/>
      <c r="F68" s="5" t="n"/>
      <c r="G68" s="5" t="n"/>
      <c r="H68" s="5" t="n"/>
      <c r="I68" s="5" t="n"/>
    </row>
    <row r="69" ht="28" customHeight="1">
      <c r="B69" s="14" t="inlineStr">
        <is>
          <t>Rendement réel net annuel</t>
        </is>
      </c>
      <c r="C69" s="14" t="inlineStr"/>
      <c r="D69" s="14" t="inlineStr">
        <is>
          <t>0,0 %</t>
        </is>
      </c>
      <c r="E69" s="14" t="inlineStr">
        <is>
          <t>1,0 %</t>
        </is>
      </c>
      <c r="F69" s="14" t="inlineStr">
        <is>
          <t>2,0 %</t>
        </is>
      </c>
      <c r="G69" s="14" t="inlineStr">
        <is>
          <t>3,0 %</t>
        </is>
      </c>
      <c r="H69" s="14" t="inlineStr">
        <is>
          <t>4,0 %</t>
        </is>
      </c>
      <c r="I69" s="14" t="inlineStr">
        <is>
          <t>5,0 %</t>
        </is>
      </c>
    </row>
    <row r="70">
      <c r="B70" s="17" t="inlineStr">
        <is>
          <t>Effort mensuel nécessaire</t>
        </is>
      </c>
      <c r="D70" s="42">
        <f>IF(Ob_MoisRestants&lt;=0,0,MAX(0,Ob_CapitalNecessaire-Ob_EpargneActuelle*(1+((1+1e-07)^(1/12)-1))^Ob_MoisRestants-Ob_VersementsActuels*((1+((1+1e-07)^(1/12)-1))^Ob_MoisRestants-1)/((1+1e-07)^(1/12)-1))*((1+1e-07)^(1/12)-1)/((1+((1+1e-07)^(1/12)-1))^Ob_MoisRestants-1))</f>
        <v/>
      </c>
      <c r="E70" s="42">
        <f>IF(Ob_MoisRestants&lt;=0,0,MAX(0,Ob_CapitalNecessaire-Ob_EpargneActuelle*(1+((1+0.01)^(1/12)-1))^Ob_MoisRestants-Ob_VersementsActuels*((1+((1+0.01)^(1/12)-1))^Ob_MoisRestants-1)/((1+0.01)^(1/12)-1))*((1+0.01)^(1/12)-1)/((1+((1+0.01)^(1/12)-1))^Ob_MoisRestants-1))</f>
        <v/>
      </c>
      <c r="F70" s="42">
        <f>IF(Ob_MoisRestants&lt;=0,0,MAX(0,Ob_CapitalNecessaire-Ob_EpargneActuelle*(1+((1+0.02)^(1/12)-1))^Ob_MoisRestants-Ob_VersementsActuels*((1+((1+0.02)^(1/12)-1))^Ob_MoisRestants-1)/((1+0.02)^(1/12)-1))*((1+0.02)^(1/12)-1)/((1+((1+0.02)^(1/12)-1))^Ob_MoisRestants-1))</f>
        <v/>
      </c>
      <c r="G70" s="42">
        <f>IF(Ob_MoisRestants&lt;=0,0,MAX(0,Ob_CapitalNecessaire-Ob_EpargneActuelle*(1+((1+0.03)^(1/12)-1))^Ob_MoisRestants-Ob_VersementsActuels*((1+((1+0.03)^(1/12)-1))^Ob_MoisRestants-1)/((1+0.03)^(1/12)-1))*((1+0.03)^(1/12)-1)/((1+((1+0.03)^(1/12)-1))^Ob_MoisRestants-1))</f>
        <v/>
      </c>
      <c r="H70" s="42">
        <f>IF(Ob_MoisRestants&lt;=0,0,MAX(0,Ob_CapitalNecessaire-Ob_EpargneActuelle*(1+((1+0.04)^(1/12)-1))^Ob_MoisRestants-Ob_VersementsActuels*((1+((1+0.04)^(1/12)-1))^Ob_MoisRestants-1)/((1+0.04)^(1/12)-1))*((1+0.04)^(1/12)-1)/((1+((1+0.04)^(1/12)-1))^Ob_MoisRestants-1))</f>
        <v/>
      </c>
      <c r="I70" s="42">
        <f>IF(Ob_MoisRestants&lt;=0,0,MAX(0,Ob_CapitalNecessaire-Ob_EpargneActuelle*(1+((1+0.05)^(1/12)-1))^Ob_MoisRestants-Ob_VersementsActuels*((1+((1+0.05)^(1/12)-1))^Ob_MoisRestants-1)/((1+0.05)^(1/12)-1))*((1+0.05)^(1/12)-1)/((1+((1+0.05)^(1/12)-1))^Ob_MoisRestants-1))</f>
        <v/>
      </c>
    </row>
    <row r="72">
      <c r="B72" s="21" t="inlineStr">
        <is>
          <t>Hypothèses de rendement non contractuelles, hors frais d'entrée et d'arbitrage. Ce document ne constitue ni un conseil en investissement, ni une garantie de résultat.</t>
        </is>
      </c>
    </row>
  </sheetData>
  <mergeCells count="11">
    <mergeCell ref="C41:H41"/>
    <mergeCell ref="F47:G47"/>
    <mergeCell ref="F48:G48"/>
    <mergeCell ref="H48:I48"/>
    <mergeCell ref="H46:I46"/>
    <mergeCell ref="H49:I49"/>
    <mergeCell ref="F49:G49"/>
    <mergeCell ref="F46:G46"/>
    <mergeCell ref="H50:I50"/>
    <mergeCell ref="F50:G50"/>
    <mergeCell ref="H47:I47"/>
  </mergeCells>
  <dataValidations count="2">
    <dataValidation sqref="C5" showDropDown="0" showInputMessage="0" showErrorMessage="0" allowBlank="1" errorTitle="Valeur non autorisée" error="Choisissez une valeur dans la liste déroulante." type="list">
      <formula1>"Montant mensuel,% du revenu net actuel"</formula1>
    </dataValidation>
    <dataValidation sqref="C19" showDropDown="0" showInputMessage="0" showErrorMessage="0" allowBlank="1" errorTitle="Valeur non autorisée" error="Choisissez une valeur dans la liste déroulante." type="list">
      <formula1>"Consommation du capital,Rente viagère,Capital préservé"</formula1>
    </dataValidation>
  </dataValidations>
  <printOptions horizontalCentered="1"/>
  <pageMargins left="0.75" right="0.75" top="1" bottom="1" header="0.5" footer="0.5"/>
  <pageSetup orientation="landscape" fitToHeight="0" fitToWidth="1"/>
</worksheet>
</file>

<file path=xl/worksheets/sheet10.xml><?xml version="1.0" encoding="utf-8"?>
<worksheet xmlns="http://schemas.openxmlformats.org/spreadsheetml/2006/main">
  <sheetPr>
    <tabColor rgb="001F3864"/>
    <outlinePr summaryBelow="1" summaryRight="1"/>
    <pageSetUpPr fitToPage="1"/>
  </sheetPr>
  <dimension ref="A1:F53"/>
  <sheetViews>
    <sheetView showGridLines="0" zoomScale="100" workbookViewId="0">
      <pane ySplit="3" topLeftCell="A4" activePane="bottomLeft" state="frozen"/>
      <selection pane="bottomLeft" activeCell="A1" sqref="A1"/>
    </sheetView>
  </sheetViews>
  <sheetFormatPr baseColWidth="8" defaultRowHeight="15"/>
  <cols>
    <col width="2" customWidth="1" min="1" max="1"/>
    <col width="58" customWidth="1" min="2" max="2"/>
    <col width="22" customWidth="1" min="3" max="3"/>
    <col width="22" customWidth="1" min="4" max="4"/>
    <col width="4" customWidth="1" min="5" max="5"/>
    <col width="88" customWidth="1" min="6" max="6"/>
  </cols>
  <sheetData>
    <row r="1" ht="30" customHeight="1">
      <c r="A1" s="1" t="inlineStr">
        <is>
          <t>SYNTHÈSE DE L'ÉTUDE PATRIMONIALE</t>
        </is>
      </c>
      <c r="B1" s="2" t="n"/>
      <c r="C1" s="2" t="n"/>
      <c r="D1" s="2" t="n"/>
      <c r="E1" s="2" t="n"/>
      <c r="F1" s="2" t="n"/>
    </row>
    <row r="2" ht="14" customHeight="1">
      <c r="A2" s="3" t="inlineStr">
        <is>
          <t>Restitution des chiffres clés. Toutes les valeurs sont reprises automatiquement des feuilles de calcul.</t>
        </is>
      </c>
    </row>
    <row r="4" ht="20" customHeight="1">
      <c r="A4" s="4" t="inlineStr">
        <is>
          <t>LE FOYER</t>
        </is>
      </c>
      <c r="B4" s="5" t="n"/>
      <c r="C4" s="5" t="n"/>
      <c r="D4" s="5" t="n"/>
      <c r="E4" s="5" t="n"/>
      <c r="F4" s="5" t="n"/>
    </row>
    <row r="5">
      <c r="B5" s="9" t="inlineStr">
        <is>
          <t>Client</t>
        </is>
      </c>
      <c r="C5" s="44">
        <f>NomClient</f>
        <v/>
      </c>
    </row>
    <row r="6">
      <c r="B6" s="9" t="inlineStr">
        <is>
          <t>Conjoint / partenaire</t>
        </is>
      </c>
      <c r="C6" s="44">
        <f>NomConjoint</f>
        <v/>
      </c>
    </row>
    <row r="7">
      <c r="B7" s="9" t="inlineStr">
        <is>
          <t>Situation matrimoniale et régime</t>
        </is>
      </c>
      <c r="C7" s="44">
        <f>SitMat&amp;" — "&amp;RegimeMat</f>
        <v/>
      </c>
    </row>
    <row r="8">
      <c r="B8" s="9" t="inlineStr">
        <is>
          <t>Nombre d'enfants du foyer</t>
        </is>
      </c>
      <c r="C8" s="46">
        <f>NbEnfCommuns+NbEnfPropClient+NbEnfPropConjoint</f>
        <v/>
      </c>
    </row>
    <row r="9">
      <c r="B9" s="9" t="inlineStr">
        <is>
          <t>Patrimoine net global (assurance-vie incluse)</t>
        </is>
      </c>
      <c r="C9" s="45">
        <f>PatrimoineNetGlobal</f>
        <v/>
      </c>
    </row>
    <row r="10">
      <c r="B10" s="9" t="inlineStr">
        <is>
          <t>Taux marginal d'imposition</t>
        </is>
      </c>
      <c r="C10" s="78">
        <f>TMI</f>
        <v/>
      </c>
    </row>
    <row r="12" ht="20" customHeight="1">
      <c r="A12" s="4" t="inlineStr">
        <is>
          <t>VOLET 1 — TRANSMISSION</t>
        </is>
      </c>
      <c r="B12" s="5" t="n"/>
      <c r="C12" s="5" t="n"/>
      <c r="D12" s="5" t="n"/>
      <c r="E12" s="5" t="n"/>
      <c r="F12" s="5" t="n"/>
    </row>
    <row r="13">
      <c r="B13" s="9" t="inlineStr">
        <is>
          <t>Décès simulé</t>
        </is>
      </c>
      <c r="C13" s="82">
        <f>NomDefunt</f>
        <v/>
      </c>
    </row>
    <row r="14">
      <c r="B14" s="9" t="inlineStr">
        <is>
          <t>Cas de dévolution retenu</t>
        </is>
      </c>
      <c r="C14" s="82">
        <f>IF(NbEnfDefunt&gt;0,"Descendants","Sans descendant")&amp;" — option : "&amp;OptionConjoint</f>
        <v/>
      </c>
    </row>
    <row r="15">
      <c r="B15" s="9" t="inlineStr">
        <is>
          <t>Actif net successoral (masse civile)</t>
        </is>
      </c>
      <c r="C15" s="83">
        <f>MasseCivile</f>
        <v/>
      </c>
    </row>
    <row r="16">
      <c r="B16" s="9" t="inlineStr">
        <is>
          <t>Capitaux d'assurance-vie transmis</t>
        </is>
      </c>
      <c r="C16" s="83">
        <f>AV_CapitalTotal</f>
        <v/>
      </c>
    </row>
    <row r="17">
      <c r="B17" s="9" t="inlineStr">
        <is>
          <t>Part revenant au conjoint survivant (valeur fiscale)</t>
        </is>
      </c>
      <c r="C17" s="83">
        <f>INDEX(HerValeur,1)</f>
        <v/>
      </c>
    </row>
    <row r="18">
      <c r="B18" s="9" t="inlineStr">
        <is>
          <t>Part revenant aux enfants (valeur fiscale)</t>
        </is>
      </c>
      <c r="C18" s="83">
        <f>SUM(INDEX(HerValeur,2):INDEX(HerValeur,9))</f>
        <v/>
      </c>
    </row>
    <row r="19">
      <c r="B19" s="17" t="inlineStr">
        <is>
          <t>DROITS DE SUCCESSION</t>
        </is>
      </c>
      <c r="C19" s="42">
        <f>TotalDroits</f>
        <v/>
      </c>
    </row>
    <row r="20">
      <c r="B20" s="9" t="inlineStr">
        <is>
          <t>Prélèvement sur l'assurance-vie (art. 990 I)</t>
        </is>
      </c>
      <c r="C20" s="83">
        <f>AV_Prelevement990</f>
        <v/>
      </c>
    </row>
    <row r="21">
      <c r="B21" s="17" t="inlineStr">
        <is>
          <t>COÛT TOTAL DE LA TRANSMISSION</t>
        </is>
      </c>
      <c r="C21" s="42">
        <f>CoutTransmission</f>
        <v/>
      </c>
    </row>
    <row r="22">
      <c r="B22" s="17" t="inlineStr">
        <is>
          <t>Taux de frottement fiscal</t>
        </is>
      </c>
      <c r="C22" s="34">
        <f>TauxFrottement</f>
        <v/>
      </c>
    </row>
    <row r="24" ht="20" customHeight="1">
      <c r="A24" s="4" t="inlineStr">
        <is>
          <t>VOLET 2 — RETRAITE</t>
        </is>
      </c>
      <c r="B24" s="5" t="n"/>
      <c r="C24" s="5" t="n"/>
      <c r="D24" s="5" t="n"/>
      <c r="E24" s="5" t="n"/>
      <c r="F24" s="5" t="n"/>
    </row>
    <row r="25">
      <c r="B25" s="9" t="inlineStr">
        <is>
          <t>Personne étudiée</t>
        </is>
      </c>
      <c r="C25" s="82">
        <f>Rt_Nom</f>
        <v/>
      </c>
    </row>
    <row r="26">
      <c r="B26" s="9" t="inlineStr">
        <is>
          <t>Âge légal de départ / âge du taux plein</t>
        </is>
      </c>
      <c r="C26" s="82">
        <f>Rt_AgeLegal&amp;" ans  /  "&amp;Rt_AgeTauxPlein&amp;" ans"</f>
        <v/>
      </c>
    </row>
    <row r="27">
      <c r="B27" s="9" t="inlineStr">
        <is>
          <t>Âge de départ envisagé</t>
        </is>
      </c>
      <c r="C27" s="84">
        <f>Rt_AgeDepart</f>
        <v/>
      </c>
    </row>
    <row r="28">
      <c r="B28" s="9" t="inlineStr">
        <is>
          <t>Pension brute mensuelle estimée</t>
        </is>
      </c>
      <c r="C28" s="83">
        <f>Rt_PensionBruteMens</f>
        <v/>
      </c>
    </row>
    <row r="29">
      <c r="B29" s="17" t="inlineStr">
        <is>
          <t>PENSION NETTE MENSUELLE ESTIMÉE</t>
        </is>
      </c>
      <c r="C29" s="42">
        <f>Rt_PensionNetteMens</f>
        <v/>
      </c>
    </row>
    <row r="30">
      <c r="B30" s="9" t="inlineStr">
        <is>
          <t>Revenu net mensuel actuel</t>
        </is>
      </c>
      <c r="C30" s="83">
        <f>Rt_RevNetMens</f>
        <v/>
      </c>
    </row>
    <row r="31">
      <c r="B31" s="17" t="inlineStr">
        <is>
          <t>TAUX DE REMPLACEMENT</t>
        </is>
      </c>
      <c r="C31" s="34">
        <f>Rt_TauxRemplacement</f>
        <v/>
      </c>
    </row>
    <row r="32">
      <c r="B32" s="9" t="inlineStr">
        <is>
          <t>Objectif de revenu net mensuel</t>
        </is>
      </c>
      <c r="C32" s="83">
        <f>Ob_Objectif</f>
        <v/>
      </c>
    </row>
    <row r="33">
      <c r="B33" s="9" t="inlineStr">
        <is>
          <t>Écart mensuel à combler</t>
        </is>
      </c>
      <c r="C33" s="83">
        <f>Ob_EcartMens</f>
        <v/>
      </c>
    </row>
    <row r="34">
      <c r="B34" s="9" t="inlineStr">
        <is>
          <t>Capital nécessaire au départ</t>
        </is>
      </c>
      <c r="C34" s="83">
        <f>Ob_CapitalNecessaire</f>
        <v/>
      </c>
    </row>
    <row r="35">
      <c r="B35" s="9" t="inlineStr">
        <is>
          <t>Capital déjà projeté au départ</t>
        </is>
      </c>
      <c r="C35" s="83">
        <f>Ob_CapitalProjete</f>
        <v/>
      </c>
    </row>
    <row r="36">
      <c r="B36" s="17" t="inlineStr">
        <is>
          <t>EFFORT D'ÉPARGNE MENSUEL À METTRE EN PLACE</t>
        </is>
      </c>
      <c r="C36" s="42">
        <f>Ob_EffortMensuel</f>
        <v/>
      </c>
    </row>
    <row r="38" ht="20" customHeight="1">
      <c r="A38" s="4" t="inlineStr">
        <is>
          <t>PISTES DE TRAVAIL (générées automatiquement)</t>
        </is>
      </c>
      <c r="B38" s="5" t="n"/>
      <c r="C38" s="5" t="n"/>
      <c r="D38" s="5" t="n"/>
      <c r="E38" s="5" t="n"/>
      <c r="F38" s="5" t="n"/>
    </row>
    <row r="39" ht="28" customHeight="1">
      <c r="B39" s="14" t="inlineStr">
        <is>
          <t>Constat</t>
        </is>
      </c>
      <c r="C39" s="14" t="inlineStr">
        <is>
          <t>Montant en jeu</t>
        </is>
      </c>
      <c r="D39" s="14" t="inlineStr"/>
      <c r="E39" s="14" t="inlineStr"/>
    </row>
    <row r="40" ht="52" customHeight="1">
      <c r="B40" s="85">
        <f>IF(AbatSuccDisponibles&gt;1000,"Des abattements de succession restent inutilisés. Une donation ou une donation-partage permettrait de les mobiliser dès maintenant — le compteur se recharge tous les 15 ans.","Les abattements en ligne directe sont saturés : travailler le démembrement, l'assurance-vie ou la donation aux petits-enfants.")</f>
        <v/>
      </c>
      <c r="C40" s="86">
        <f>AbatSuccDisponibles</f>
        <v/>
      </c>
    </row>
    <row r="41" ht="52" customHeight="1">
      <c r="B41" s="85">
        <f>IF(AbatAVDisponibles&gt;1000,"Des abattements d'assurance-vie de 152 500 € par bénéficiaire restent disponibles : un versement avant 70 ans reste le levier le plus efficace.","Les abattements d'assurance-vie sont utilisés : au-delà, la taxation est de 20 % puis 31,25 %.")</f>
        <v/>
      </c>
      <c r="C41" s="86">
        <f>AbatAVDisponibles</f>
        <v/>
      </c>
    </row>
    <row r="42" ht="52" customHeight="1">
      <c r="B42" s="85">
        <f>IF(CmpOptionA-CmpOptionB&gt;1000,"L'option du conjoint pour l'usufruit total réduirait sensiblement les droits des enfants, tout en protégeant le conjoint (jouissance et revenus de la totalité des biens).","L'option pour l'usufruit total n'apporte pas d'économie significative dans cette configuration.")</f>
        <v/>
      </c>
      <c r="C42" s="86">
        <f>MAX(0,CmpOptionA-CmpOptionB)</f>
        <v/>
      </c>
    </row>
    <row r="43" ht="52" customHeight="1">
      <c r="B43" s="85">
        <f>IF(TotalDroits&gt;LiquiditesSucc,"⚠️ Les liquidités et valeurs mobilières de la succession ne couvrent pas les droits, exigibles dans les 6 mois du décès. Prévoir une clause bénéficiaire d'assurance-vie dédiée, un contrat de prévoyance ou un crédit de droits de succession.","Les liquidités de la succession couvrent les droits exigibles ; l'écart indiqué est la marge disponible.")</f>
        <v/>
      </c>
      <c r="C43" s="86">
        <f>ABS(TotalDroits-LiquiditesSucc)</f>
        <v/>
      </c>
    </row>
    <row r="44" ht="52" customHeight="1">
      <c r="B44" s="85">
        <f>IF(Rt_TauxRemplacement&lt;0.6,"Le taux de remplacement est inférieur à 60 % : la baisse de revenu au passage à la retraite sera sensible et justifie un plan d'épargne dédié.","Le taux de remplacement est satisfaisant au regard du revenu actuel.")</f>
        <v/>
      </c>
      <c r="C44" s="86">
        <f>Ob_EcartMens</f>
        <v/>
      </c>
    </row>
    <row r="45" ht="52" customHeight="1">
      <c r="B45" s="85">
        <f>IF(Ob_EffortMensuel&gt;0.25*Rt_RevNetMens,"⚠️ L'effort d'épargne dépasse 25 % du revenu net : réviser l'objectif, décaler l'âge de départ ou allonger la durée d'épargne.",IF(Ob_EffortMensuel=0,"Aucun effort d'épargne supplémentaire n'est nécessaire.","L'effort d'épargne paraît soutenable — à confronter à la capacité d'épargne réelle du client."))</f>
        <v/>
      </c>
      <c r="C45" s="86">
        <f>Ob_EffortMensuel</f>
        <v/>
      </c>
    </row>
    <row r="46" ht="52" customHeight="1">
      <c r="B46" s="85">
        <f>IF(INDEX(Rt_ScenPensionNetteMens,6)-INDEX(Rt_ScenPensionNetteMens,3)&gt;0,"Reporter le départ de 64 à 67 ans augmenterait la pension nette mensuelle du montant indiqué (effet cumulé de la surcote, des trimestres supplémentaires et des points Agirc-Arrco).","")</f>
        <v/>
      </c>
      <c r="C46" s="86">
        <f>MAX(0,INDEX(Rt_ScenPensionNetteMens,6)-INDEX(Rt_ScenPensionNetteMens,3))</f>
        <v/>
      </c>
    </row>
    <row r="48" ht="20" customHeight="1">
      <c r="A48" s="4" t="inlineStr">
        <is>
          <t>CELLULES TECHNIQUES</t>
        </is>
      </c>
      <c r="B48" s="5" t="n"/>
      <c r="C48" s="5" t="n"/>
      <c r="D48" s="5" t="n"/>
      <c r="E48" s="5" t="n"/>
      <c r="F48" s="5" t="n"/>
    </row>
    <row r="49">
      <c r="B49" s="58" t="inlineStr">
        <is>
          <t>Abattements de succession restant disponibles</t>
        </is>
      </c>
      <c r="C49" s="32">
        <f>SUMPRODUCT((DrAbatNet&gt;DrBaseAvantAbat)*(DrAbatNet-DrBaseAvantAbat))</f>
        <v/>
      </c>
    </row>
    <row r="50">
      <c r="B50" s="58" t="inlineStr">
        <is>
          <t>Abattements d'assurance-vie restant disponibles</t>
        </is>
      </c>
      <c r="C50" s="32">
        <f>SUMPRODUCT((AV_BenefNom&lt;&gt;"")*(AV_Exonere="Non")*(AV_Abat990-AV_AbatUtilise))</f>
        <v/>
      </c>
    </row>
    <row r="51">
      <c r="B51" s="58" t="inlineStr">
        <is>
          <t>Liquidités et valeurs mobilières dans la succession</t>
        </is>
      </c>
      <c r="C51" s="32">
        <f>SUMIFS(ActPartSucc,ActCategorie,"Liquidités et livrets")+SUMIFS(ActPartSucc,ActCategorie,"Comptes-titres / PEA")</f>
        <v/>
      </c>
    </row>
    <row r="53">
      <c r="B53" s="21" t="inlineStr">
        <is>
          <t>Document établi à titre d'information. Estimations non contractuelles, établies sur la base des informations communiquées par le client et des barèmes en vigueur à la date indiquée sur la feuille « Client ».</t>
        </is>
      </c>
    </row>
  </sheetData>
  <printOptions horizontalCentered="1"/>
  <pageMargins left="0.75" right="0.75" top="1" bottom="1" header="0.5" footer="0.5"/>
  <pageSetup orientation="portrait" fitToHeight="0" fitToWidth="1"/>
</worksheet>
</file>

<file path=xl/worksheets/sheet11.xml><?xml version="1.0" encoding="utf-8"?>
<worksheet xmlns="http://schemas.openxmlformats.org/spreadsheetml/2006/main">
  <sheetPr>
    <tabColor rgb="007F7F7F"/>
    <outlinePr summaryBelow="1" summaryRight="1"/>
    <pageSetUpPr fitToPage="1"/>
  </sheetPr>
  <dimension ref="A1:F168"/>
  <sheetViews>
    <sheetView showGridLines="0" zoomScale="95" workbookViewId="0">
      <pane ySplit="4" topLeftCell="A5" activePane="bottomLeft" state="frozen"/>
      <selection pane="bottomLeft" activeCell="A1" sqref="A1"/>
    </sheetView>
  </sheetViews>
  <sheetFormatPr baseColWidth="8" defaultRowHeight="15"/>
  <cols>
    <col width="2" customWidth="1" min="1" max="1"/>
    <col width="46" customWidth="1" min="2" max="2"/>
    <col width="16" customWidth="1" min="3" max="3"/>
    <col width="22" customWidth="1" min="4" max="4"/>
    <col width="74" customWidth="1" min="5" max="5"/>
    <col width="14" customWidth="1" min="6" max="6"/>
    <col width="14" customWidth="1" min="7" max="7"/>
  </cols>
  <sheetData>
    <row r="1" ht="30" customHeight="1">
      <c r="A1" s="1" t="inlineStr">
        <is>
          <t>PARAMÈTRES, BARÈMES ET HYPOTHÈSES</t>
        </is>
      </c>
      <c r="B1" s="2" t="n"/>
      <c r="C1" s="2" t="n"/>
      <c r="D1" s="2" t="n"/>
      <c r="E1" s="2" t="n"/>
      <c r="F1" s="2" t="n"/>
    </row>
    <row r="2" ht="14" customHeight="1">
      <c r="A2" s="3" t="inlineStr">
        <is>
          <t>Toutes les cellules bleues sont modifiables. C'est ici — et nulle part ailleurs — que l'on met à jour les barèmes lors de leur revalorisation annuelle.</t>
        </is>
      </c>
    </row>
    <row r="3">
      <c r="B3" s="87" t="inlineStr">
        <is>
          <t>⚠️  Barèmes arrêtés à la date de construction du classeur. Vérifiez chaque valeur avant un usage en clientèle.</t>
        </is>
      </c>
    </row>
    <row r="5" ht="20" customHeight="1">
      <c r="A5" s="4" t="inlineStr">
        <is>
          <t>1.  SUCCESSION — ABATTEMENTS PERSONNELS ET CATÉGORIE DE BARÈME</t>
        </is>
      </c>
      <c r="B5" s="5" t="n"/>
      <c r="C5" s="5" t="n"/>
      <c r="D5" s="5" t="n"/>
      <c r="E5" s="5" t="n"/>
      <c r="F5" s="5" t="n"/>
    </row>
    <row r="6" ht="28" customHeight="1">
      <c r="B6" s="14" t="inlineStr">
        <is>
          <t>Lien de parenté avec le défunt</t>
        </is>
      </c>
      <c r="C6" s="14" t="inlineStr">
        <is>
          <t>Abattement (€)</t>
        </is>
      </c>
      <c r="D6" s="14" t="inlineStr">
        <is>
          <t>Catégorie de barème</t>
        </is>
      </c>
      <c r="E6" s="14" t="inlineStr">
        <is>
          <t>Référence et commentaire</t>
        </is>
      </c>
    </row>
    <row r="7">
      <c r="B7" s="88" t="inlineStr">
        <is>
          <t>Conjoint survivant</t>
        </is>
      </c>
      <c r="C7" s="30" t="n">
        <v>0</v>
      </c>
      <c r="D7" s="8" t="inlineStr">
        <is>
          <t>Exonéré</t>
        </is>
      </c>
      <c r="E7" s="21" t="inlineStr">
        <is>
          <t>Art. 796-0 bis CGI : exonération totale de droits de succession.</t>
        </is>
      </c>
    </row>
    <row r="8">
      <c r="B8" s="88" t="inlineStr">
        <is>
          <t>Partenaire de PACS</t>
        </is>
      </c>
      <c r="C8" s="30" t="n">
        <v>0</v>
      </c>
      <c r="D8" s="8" t="inlineStr">
        <is>
          <t>Exonéré</t>
        </is>
      </c>
      <c r="E8" s="21" t="inlineStr">
        <is>
          <t>Art. 796-0 bis CGI : exonéré, mais n'hérite QUE par testament (art. 515-6 C. civ.).</t>
        </is>
      </c>
    </row>
    <row r="9">
      <c r="B9" s="88" t="inlineStr">
        <is>
          <t>Enfant</t>
        </is>
      </c>
      <c r="C9" s="30" t="n">
        <v>100000</v>
      </c>
      <c r="D9" s="8" t="inlineStr">
        <is>
          <t>Ligne directe</t>
        </is>
      </c>
      <c r="E9" s="21" t="inlineStr">
        <is>
          <t>Art. 779 I CGI.</t>
        </is>
      </c>
    </row>
    <row r="10">
      <c r="B10" s="88" t="inlineStr">
        <is>
          <t>Ascendant (père / mère)</t>
        </is>
      </c>
      <c r="C10" s="30" t="n">
        <v>100000</v>
      </c>
      <c r="D10" s="8" t="inlineStr">
        <is>
          <t>Ligne directe</t>
        </is>
      </c>
      <c r="E10" s="21" t="inlineStr">
        <is>
          <t>Art. 779 I CGI.</t>
        </is>
      </c>
    </row>
    <row r="11">
      <c r="B11" s="88" t="inlineStr">
        <is>
          <t>Petit-enfant</t>
        </is>
      </c>
      <c r="C11" s="30" t="n">
        <v>1594</v>
      </c>
      <c r="D11" s="8" t="inlineStr">
        <is>
          <t>Ligne directe</t>
        </is>
      </c>
      <c r="E11" s="21" t="inlineStr">
        <is>
          <t>Art. 788 IV CGI. En cas de représentation, il partage l'abattement de 100 000 € de son auteur.</t>
        </is>
      </c>
    </row>
    <row r="12">
      <c r="B12" s="88" t="inlineStr">
        <is>
          <t>Arrière-petit-enfant</t>
        </is>
      </c>
      <c r="C12" s="30" t="n">
        <v>1594</v>
      </c>
      <c r="D12" s="8" t="inlineStr">
        <is>
          <t>Ligne directe</t>
        </is>
      </c>
      <c r="E12" s="21" t="inlineStr">
        <is>
          <t>Art. 788 IV CGI.</t>
        </is>
      </c>
    </row>
    <row r="13">
      <c r="B13" s="88" t="inlineStr">
        <is>
          <t>Frère / Sœur</t>
        </is>
      </c>
      <c r="C13" s="30" t="n">
        <v>15932</v>
      </c>
      <c r="D13" s="8" t="inlineStr">
        <is>
          <t>Frères et sœurs</t>
        </is>
      </c>
      <c r="E13" s="21" t="inlineStr">
        <is>
          <t>Art. 779 IV CGI. Exonération totale possible sous conditions (art. 796-0 ter : célibataire/veuf/divorcé, +50 ans ou infirme, domicilié avec le défunt les 5 dernières années).</t>
        </is>
      </c>
    </row>
    <row r="14">
      <c r="B14" s="88" t="inlineStr">
        <is>
          <t>Neveu / Nièce</t>
        </is>
      </c>
      <c r="C14" s="30" t="n">
        <v>7967</v>
      </c>
      <c r="D14" s="8" t="inlineStr">
        <is>
          <t>Parents jusqu'au 4e degré</t>
        </is>
      </c>
      <c r="E14" s="21" t="inlineStr">
        <is>
          <t>Art. 779 V CGI.</t>
        </is>
      </c>
    </row>
    <row r="15">
      <c r="B15" s="88" t="inlineStr">
        <is>
          <t>Neveu / Nièce (par représentation)</t>
        </is>
      </c>
      <c r="C15" s="30" t="n">
        <v>15932</v>
      </c>
      <c r="D15" s="8" t="inlineStr">
        <is>
          <t>Frères et sœurs</t>
        </is>
      </c>
      <c r="E15" s="21" t="inlineStr">
        <is>
          <t>Venant en représentation d'un frère ou d'une sœur prédécédé : reprend l'abattement et le barème de son auteur.</t>
        </is>
      </c>
    </row>
    <row r="16">
      <c r="B16" s="88" t="inlineStr">
        <is>
          <t>Oncle / Tante / Cousin germain</t>
        </is>
      </c>
      <c r="C16" s="30" t="n">
        <v>1594</v>
      </c>
      <c r="D16" s="8" t="inlineStr">
        <is>
          <t>Parents jusqu'au 4e degré</t>
        </is>
      </c>
      <c r="E16" s="21" t="inlineStr">
        <is>
          <t>Art. 788 IV et 777 CGI.</t>
        </is>
      </c>
    </row>
    <row r="17">
      <c r="B17" s="88" t="inlineStr">
        <is>
          <t>Concubin / Tiers</t>
        </is>
      </c>
      <c r="C17" s="30" t="n">
        <v>1594</v>
      </c>
      <c r="D17" s="8" t="inlineStr">
        <is>
          <t>Autres</t>
        </is>
      </c>
      <c r="E17" s="21" t="inlineStr">
        <is>
          <t>Art. 788 IV et 777 CGI — taxation à 60 %.</t>
        </is>
      </c>
    </row>
    <row r="18">
      <c r="B18" s="88" t="inlineStr">
        <is>
          <t>Aucun (part non taxable)</t>
        </is>
      </c>
      <c r="C18" s="30" t="n">
        <v>0</v>
      </c>
      <c r="D18" s="8" t="inlineStr">
        <is>
          <t>Exonéré</t>
        </is>
      </c>
      <c r="E18" s="21" t="inlineStr">
        <is>
          <t>Ligne technique : à utiliser pour neutraliser une part.</t>
        </is>
      </c>
    </row>
    <row r="20" ht="20" customHeight="1">
      <c r="A20" s="4" t="inlineStr">
        <is>
          <t>2.  SUCCESSION — BARÈME PROGRESSIF DES DROITS (art. 777 CGI)</t>
        </is>
      </c>
      <c r="B20" s="5" t="n"/>
      <c r="C20" s="5" t="n"/>
      <c r="D20" s="5" t="n"/>
      <c r="E20" s="5" t="n"/>
      <c r="F20" s="5" t="n"/>
    </row>
    <row r="21" ht="28" customHeight="1">
      <c r="B21" s="14" t="inlineStr">
        <is>
          <t>Catégorie de barème</t>
        </is>
      </c>
      <c r="C21" s="14" t="inlineStr">
        <is>
          <t>Seuil bas de tranche (€)</t>
        </is>
      </c>
      <c r="D21" s="14" t="inlineStr">
        <is>
          <t>Taux de la tranche</t>
        </is>
      </c>
      <c r="E21" s="14" t="inlineStr">
        <is>
          <t>Taux de la tranche précédente (calculé)</t>
        </is>
      </c>
    </row>
    <row r="22">
      <c r="B22" s="88" t="inlineStr">
        <is>
          <t>Ligne directe</t>
        </is>
      </c>
      <c r="C22" s="30" t="n">
        <v>0</v>
      </c>
      <c r="D22" s="38" t="n">
        <v>0.05</v>
      </c>
      <c r="E22" s="33" t="n">
        <v>0</v>
      </c>
    </row>
    <row r="23">
      <c r="B23" s="88" t="inlineStr">
        <is>
          <t>Ligne directe</t>
        </is>
      </c>
      <c r="C23" s="30" t="n">
        <v>8072</v>
      </c>
      <c r="D23" s="38" t="n">
        <v>0.1</v>
      </c>
      <c r="E23" s="33">
        <f>IF(B23=B22,D22,0)</f>
        <v/>
      </c>
    </row>
    <row r="24">
      <c r="B24" s="88" t="inlineStr">
        <is>
          <t>Ligne directe</t>
        </is>
      </c>
      <c r="C24" s="30" t="n">
        <v>12109</v>
      </c>
      <c r="D24" s="38" t="n">
        <v>0.15</v>
      </c>
      <c r="E24" s="33">
        <f>IF(B24=B23,D23,0)</f>
        <v/>
      </c>
    </row>
    <row r="25">
      <c r="B25" s="88" t="inlineStr">
        <is>
          <t>Ligne directe</t>
        </is>
      </c>
      <c r="C25" s="30" t="n">
        <v>15932</v>
      </c>
      <c r="D25" s="38" t="n">
        <v>0.2</v>
      </c>
      <c r="E25" s="33">
        <f>IF(B25=B24,D24,0)</f>
        <v/>
      </c>
    </row>
    <row r="26">
      <c r="B26" s="88" t="inlineStr">
        <is>
          <t>Ligne directe</t>
        </is>
      </c>
      <c r="C26" s="30" t="n">
        <v>552324</v>
      </c>
      <c r="D26" s="38" t="n">
        <v>0.3</v>
      </c>
      <c r="E26" s="33">
        <f>IF(B26=B25,D25,0)</f>
        <v/>
      </c>
    </row>
    <row r="27">
      <c r="B27" s="88" t="inlineStr">
        <is>
          <t>Ligne directe</t>
        </is>
      </c>
      <c r="C27" s="30" t="n">
        <v>902838</v>
      </c>
      <c r="D27" s="38" t="n">
        <v>0.4</v>
      </c>
      <c r="E27" s="33">
        <f>IF(B27=B26,D26,0)</f>
        <v/>
      </c>
    </row>
    <row r="28">
      <c r="B28" s="88" t="inlineStr">
        <is>
          <t>Ligne directe</t>
        </is>
      </c>
      <c r="C28" s="30" t="n">
        <v>1805677</v>
      </c>
      <c r="D28" s="38" t="n">
        <v>0.45</v>
      </c>
      <c r="E28" s="33">
        <f>IF(B28=B27,D27,0)</f>
        <v/>
      </c>
    </row>
    <row r="29">
      <c r="B29" s="88" t="inlineStr">
        <is>
          <t>Frères et sœurs</t>
        </is>
      </c>
      <c r="C29" s="30" t="n">
        <v>0</v>
      </c>
      <c r="D29" s="38" t="n">
        <v>0.35</v>
      </c>
      <c r="E29" s="33">
        <f>IF(B29=B28,D28,0)</f>
        <v/>
      </c>
    </row>
    <row r="30">
      <c r="B30" s="88" t="inlineStr">
        <is>
          <t>Frères et sœurs</t>
        </is>
      </c>
      <c r="C30" s="30" t="n">
        <v>24430</v>
      </c>
      <c r="D30" s="38" t="n">
        <v>0.45</v>
      </c>
      <c r="E30" s="33">
        <f>IF(B30=B29,D29,0)</f>
        <v/>
      </c>
    </row>
    <row r="31">
      <c r="B31" s="88" t="inlineStr">
        <is>
          <t>Parents jusqu'au 4e degré</t>
        </is>
      </c>
      <c r="C31" s="30" t="n">
        <v>0</v>
      </c>
      <c r="D31" s="38" t="n">
        <v>0.55</v>
      </c>
      <c r="E31" s="33">
        <f>IF(B31=B30,D30,0)</f>
        <v/>
      </c>
    </row>
    <row r="32">
      <c r="B32" s="88" t="inlineStr">
        <is>
          <t>Autres</t>
        </is>
      </c>
      <c r="C32" s="30" t="n">
        <v>0</v>
      </c>
      <c r="D32" s="38" t="n">
        <v>0.6</v>
      </c>
      <c r="E32" s="33">
        <f>IF(B32=B31,D31,0)</f>
        <v/>
      </c>
    </row>
    <row r="33">
      <c r="B33" s="88" t="inlineStr">
        <is>
          <t>Exonéré</t>
        </is>
      </c>
      <c r="C33" s="30" t="n">
        <v>0</v>
      </c>
      <c r="D33" s="38" t="n">
        <v>0</v>
      </c>
      <c r="E33" s="33">
        <f>IF(B33=B32,D32,0)</f>
        <v/>
      </c>
    </row>
    <row r="34">
      <c r="B34" s="21" t="inlineStr">
        <is>
          <t>Les droits sont calculés par : SOMMEPROD((catégorie)×(base&gt;seuil)×(base−seuil)×(taux−taux précédent)). Ajouter une tranche = insérer une ligne DANS le tableau et étendre les plages nommées.</t>
        </is>
      </c>
    </row>
    <row r="36" ht="20" customHeight="1">
      <c r="A36" s="4" t="inlineStr">
        <is>
          <t>3.  BARÈME FISCAL DE L'USUFRUIT ET DE LA NUE-PROPRIÉTÉ (art. 669 CGI)</t>
        </is>
      </c>
      <c r="B36" s="5" t="n"/>
      <c r="C36" s="5" t="n"/>
      <c r="D36" s="5" t="n"/>
      <c r="E36" s="5" t="n"/>
      <c r="F36" s="5" t="n"/>
    </row>
    <row r="37" ht="28" customHeight="1">
      <c r="B37" s="14" t="inlineStr">
        <is>
          <t>Âge révolu de l'usufruitier — de</t>
        </is>
      </c>
      <c r="C37" s="14" t="inlineStr">
        <is>
          <t>… à</t>
        </is>
      </c>
      <c r="D37" s="14" t="inlineStr">
        <is>
          <t>Valeur de l'usufruit</t>
        </is>
      </c>
      <c r="E37" s="14" t="inlineStr">
        <is>
          <t>Valeur de la nue-propriété</t>
        </is>
      </c>
    </row>
    <row r="38">
      <c r="B38" s="29" t="n">
        <v>0</v>
      </c>
      <c r="C38" s="29" t="n">
        <v>20</v>
      </c>
      <c r="D38" s="38" t="n">
        <v>0.9</v>
      </c>
      <c r="E38" s="33">
        <f>1-D38</f>
        <v/>
      </c>
    </row>
    <row r="39">
      <c r="B39" s="29" t="n">
        <v>21</v>
      </c>
      <c r="C39" s="29" t="n">
        <v>30</v>
      </c>
      <c r="D39" s="38" t="n">
        <v>0.8</v>
      </c>
      <c r="E39" s="33">
        <f>1-D39</f>
        <v/>
      </c>
    </row>
    <row r="40">
      <c r="B40" s="29" t="n">
        <v>31</v>
      </c>
      <c r="C40" s="29" t="n">
        <v>40</v>
      </c>
      <c r="D40" s="38" t="n">
        <v>0.7</v>
      </c>
      <c r="E40" s="33">
        <f>1-D40</f>
        <v/>
      </c>
    </row>
    <row r="41">
      <c r="B41" s="29" t="n">
        <v>41</v>
      </c>
      <c r="C41" s="29" t="n">
        <v>50</v>
      </c>
      <c r="D41" s="38" t="n">
        <v>0.6</v>
      </c>
      <c r="E41" s="33">
        <f>1-D41</f>
        <v/>
      </c>
    </row>
    <row r="42">
      <c r="B42" s="29" t="n">
        <v>51</v>
      </c>
      <c r="C42" s="29" t="n">
        <v>60</v>
      </c>
      <c r="D42" s="38" t="n">
        <v>0.5</v>
      </c>
      <c r="E42" s="33">
        <f>1-D42</f>
        <v/>
      </c>
    </row>
    <row r="43">
      <c r="B43" s="29" t="n">
        <v>61</v>
      </c>
      <c r="C43" s="29" t="n">
        <v>70</v>
      </c>
      <c r="D43" s="38" t="n">
        <v>0.4</v>
      </c>
      <c r="E43" s="33">
        <f>1-D43</f>
        <v/>
      </c>
    </row>
    <row r="44">
      <c r="B44" s="29" t="n">
        <v>71</v>
      </c>
      <c r="C44" s="29" t="n">
        <v>80</v>
      </c>
      <c r="D44" s="38" t="n">
        <v>0.3</v>
      </c>
      <c r="E44" s="33">
        <f>1-D44</f>
        <v/>
      </c>
    </row>
    <row r="45">
      <c r="B45" s="29" t="n">
        <v>81</v>
      </c>
      <c r="C45" s="29" t="n">
        <v>90</v>
      </c>
      <c r="D45" s="38" t="n">
        <v>0.2</v>
      </c>
      <c r="E45" s="33">
        <f>1-D45</f>
        <v/>
      </c>
    </row>
    <row r="46">
      <c r="B46" s="29" t="n">
        <v>91</v>
      </c>
      <c r="C46" s="29" t="n">
        <v>130</v>
      </c>
      <c r="D46" s="38" t="n">
        <v>0.1</v>
      </c>
      <c r="E46" s="33">
        <f>1-D46</f>
        <v/>
      </c>
    </row>
    <row r="47">
      <c r="B47" s="21" t="inlineStr">
        <is>
          <t>Barème applicable à l'usufruit viager. L'usufruit à durée fixe se valorise à 23 % par période de 10 ans (plafonné à la valeur de l'usufruit viager).</t>
        </is>
      </c>
    </row>
    <row r="49" ht="20" customHeight="1">
      <c r="A49" s="4" t="inlineStr">
        <is>
          <t>4.  SUCCESSION — AUTRES PARAMÈTRES</t>
        </is>
      </c>
      <c r="B49" s="5" t="n"/>
      <c r="C49" s="5" t="n"/>
      <c r="D49" s="5" t="n"/>
      <c r="E49" s="5" t="n"/>
      <c r="F49" s="5" t="n"/>
    </row>
    <row r="50">
      <c r="B50" s="9" t="inlineStr">
        <is>
          <t>Abattement supplémentaire personne handicapée</t>
        </is>
      </c>
      <c r="C50" s="30" t="n">
        <v>159325</v>
      </c>
      <c r="E50" s="21" t="inlineStr">
        <is>
          <t>Art. 779 II CGI — cumulable avec l'abattement personnel.</t>
        </is>
      </c>
    </row>
    <row r="51">
      <c r="B51" s="9" t="inlineStr">
        <is>
          <t>Abattement sur la résidence principale</t>
        </is>
      </c>
      <c r="C51" s="38" t="n">
        <v>0.2</v>
      </c>
      <c r="E51" s="21" t="inlineStr">
        <is>
          <t>Art. 764 bis CGI — si occupée par le conjoint/partenaire ou un enfant mineur ou majeur protégé.</t>
        </is>
      </c>
    </row>
    <row r="52">
      <c r="B52" s="9" t="inlineStr">
        <is>
          <t>Forfait mobilier (présomption)</t>
        </is>
      </c>
      <c r="C52" s="38" t="n">
        <v>0.05</v>
      </c>
      <c r="E52" s="21" t="inlineStr">
        <is>
          <t>Art. 764 I 3° CGI — 5 % de l'actif brut, sauf inventaire ou déclaration détaillée.</t>
        </is>
      </c>
    </row>
    <row r="53">
      <c r="B53" s="9" t="inlineStr">
        <is>
          <t>Frais funéraires déductibles (forfait)</t>
        </is>
      </c>
      <c r="C53" s="30" t="n">
        <v>1500</v>
      </c>
      <c r="E53" s="21" t="inlineStr">
        <is>
          <t>Art. 775 CGI.</t>
        </is>
      </c>
    </row>
    <row r="54">
      <c r="B54" s="9" t="inlineStr">
        <is>
          <t>Délai de rappel fiscal des donations</t>
        </is>
      </c>
      <c r="C54" s="29" t="n">
        <v>15</v>
      </c>
      <c r="E54" s="21" t="inlineStr">
        <is>
          <t>Art. 784 CGI — en années.</t>
        </is>
      </c>
    </row>
    <row r="55">
      <c r="B55" s="9" t="inlineStr">
        <is>
          <t>Don familial de sommes d'argent (exonération)</t>
        </is>
      </c>
      <c r="C55" s="30" t="n">
        <v>31865</v>
      </c>
      <c r="E55" s="21" t="inlineStr">
        <is>
          <t>Art. 790 G CGI — donateur de moins de 80 ans, donataire majeur, renouvelable tous les 15 ans.</t>
        </is>
      </c>
    </row>
    <row r="57" ht="20" customHeight="1">
      <c r="A57" s="4" t="inlineStr">
        <is>
          <t>5.  ASSURANCE-VIE — FISCALITÉ DU CAPITAL DÉCÈS</t>
        </is>
      </c>
      <c r="B57" s="5" t="n"/>
      <c r="C57" s="5" t="n"/>
      <c r="D57" s="5" t="n"/>
      <c r="E57" s="5" t="n"/>
      <c r="F57" s="5" t="n"/>
    </row>
    <row r="58">
      <c r="B58" s="9" t="inlineStr">
        <is>
          <t>Abattement par bénéficiaire (primes versées avant 70 ans)</t>
        </is>
      </c>
      <c r="C58" s="30" t="n">
        <v>152500</v>
      </c>
      <c r="E58" s="21" t="inlineStr">
        <is>
          <t>Art. 990 I CGI — abattement individuel, tous contrats confondus.</t>
        </is>
      </c>
    </row>
    <row r="59">
      <c r="B59" s="9" t="inlineStr">
        <is>
          <t>Seuil de la 2e tranche du prélèvement 990 I</t>
        </is>
      </c>
      <c r="C59" s="30" t="n">
        <v>700000</v>
      </c>
      <c r="E59" s="21" t="inlineStr">
        <is>
          <t>Fraction taxable par bénéficiaire, après abattement.</t>
        </is>
      </c>
    </row>
    <row r="60">
      <c r="B60" s="9" t="inlineStr">
        <is>
          <t>Taux 990 I — 1re tranche</t>
        </is>
      </c>
      <c r="C60" s="38" t="n">
        <v>0.2</v>
      </c>
      <c r="E60" s="21" t="inlineStr">
        <is>
          <t>Art. 990 I CGI.</t>
        </is>
      </c>
    </row>
    <row r="61">
      <c r="B61" s="9" t="inlineStr">
        <is>
          <t>Taux 990 I — 2e tranche</t>
        </is>
      </c>
      <c r="C61" s="59" t="n">
        <v>0.3125</v>
      </c>
      <c r="E61" s="21" t="inlineStr">
        <is>
          <t>Art. 990 I CGI.</t>
        </is>
      </c>
    </row>
    <row r="62">
      <c r="B62" s="9" t="inlineStr">
        <is>
          <t>Abattement global (primes versées après 70 ans)</t>
        </is>
      </c>
      <c r="C62" s="30" t="n">
        <v>30500</v>
      </c>
      <c r="E62" s="21" t="inlineStr">
        <is>
          <t>Art. 757 B CGI — abattement GLOBAL sur les primes, réparti entre les bénéficiaires au prorata. Les produits capitalisés restent exonérés.</t>
        </is>
      </c>
    </row>
    <row r="63">
      <c r="B63" s="21" t="inlineStr">
        <is>
          <t>Le conjoint survivant et le partenaire de PACS bénéficiaires sont exonérés dans les deux régimes.</t>
        </is>
      </c>
    </row>
    <row r="65" ht="20" customHeight="1">
      <c r="A65" s="4" t="inlineStr">
        <is>
          <t>6.  BARÈME DE L'IMPÔT SUR LE REVENU (pour le calcul de la TMI)</t>
        </is>
      </c>
      <c r="B65" s="5" t="n"/>
      <c r="C65" s="5" t="n"/>
      <c r="D65" s="5" t="n"/>
      <c r="E65" s="5" t="n"/>
      <c r="F65" s="5" t="n"/>
    </row>
    <row r="66" ht="28" customHeight="1">
      <c r="B66" s="14" t="inlineStr">
        <is>
          <t>Tranche — seuil bas par part (€)</t>
        </is>
      </c>
      <c r="C66" s="14" t="inlineStr">
        <is>
          <t>Taux</t>
        </is>
      </c>
      <c r="D66" s="14" t="inlineStr">
        <is>
          <t>Taux tranche précédente (calculé)</t>
        </is>
      </c>
      <c r="E66" s="14" t="inlineStr">
        <is>
          <t>Commentaire</t>
        </is>
      </c>
    </row>
    <row r="67">
      <c r="B67" s="30" t="n">
        <v>0</v>
      </c>
      <c r="C67" s="38" t="n">
        <v>0</v>
      </c>
      <c r="D67" s="33" t="n">
        <v>0</v>
      </c>
    </row>
    <row r="68">
      <c r="B68" s="30" t="n">
        <v>11497</v>
      </c>
      <c r="C68" s="38" t="n">
        <v>0.11</v>
      </c>
      <c r="D68" s="33">
        <f>C67</f>
        <v/>
      </c>
    </row>
    <row r="69">
      <c r="B69" s="30" t="n">
        <v>29315</v>
      </c>
      <c r="C69" s="38" t="n">
        <v>0.3</v>
      </c>
      <c r="D69" s="33">
        <f>C68</f>
        <v/>
      </c>
    </row>
    <row r="70">
      <c r="B70" s="30" t="n">
        <v>83823</v>
      </c>
      <c r="C70" s="38" t="n">
        <v>0.41</v>
      </c>
      <c r="D70" s="33">
        <f>C69</f>
        <v/>
      </c>
    </row>
    <row r="71">
      <c r="B71" s="30" t="n">
        <v>180294</v>
      </c>
      <c r="C71" s="38" t="n">
        <v>0.45</v>
      </c>
      <c r="D71" s="33">
        <f>C70</f>
        <v/>
      </c>
    </row>
    <row r="72">
      <c r="B72" s="21" t="inlineStr">
        <is>
          <t>Barème indiqué pour les revenus 2024 (impôt 2025) — à actualiser chaque année. Le plafonnement des effets du quotient familial n'est pas modélisé.</t>
        </is>
      </c>
    </row>
    <row r="74" ht="20" customHeight="1">
      <c r="A74" s="4" t="inlineStr">
        <is>
          <t>7.  RETRAITE — CALENDRIER LÉGAL PAR GÉNÉRATION</t>
        </is>
      </c>
      <c r="B74" s="5" t="n"/>
      <c r="C74" s="5" t="n"/>
      <c r="D74" s="5" t="n"/>
      <c r="E74" s="5" t="n"/>
      <c r="F74" s="5" t="n"/>
    </row>
    <row r="75">
      <c r="B75" s="89" t="inlineStr">
        <is>
          <t>⚠️  Calendrier issu de la réforme du 14 avril 2023. Le décalage progressif de l'âge légal a fait l'objet de mesures de suspension discutées fin 2025 : VÉRIFIEZ le calendrier applicable sur info-retraite.fr et corrigez ce tableau le cas échéant.</t>
        </is>
      </c>
    </row>
    <row r="76" ht="28" customHeight="1">
      <c r="B76" s="14" t="inlineStr">
        <is>
          <t>Année de naissance</t>
        </is>
      </c>
      <c r="C76" s="14" t="inlineStr">
        <is>
          <t>Âge légal de départ (années)</t>
        </is>
      </c>
      <c r="D76" s="14" t="inlineStr">
        <is>
          <t>Durée d'assurance requise (trimestres)</t>
        </is>
      </c>
      <c r="E76" s="14" t="inlineStr">
        <is>
          <t>Âge du taux plein automatique</t>
        </is>
      </c>
    </row>
    <row r="77">
      <c r="B77" s="29" t="n">
        <v>1950</v>
      </c>
      <c r="C77" s="31" t="n">
        <v>62</v>
      </c>
      <c r="D77" s="29" t="n">
        <v>166</v>
      </c>
      <c r="E77" s="29" t="n">
        <v>67</v>
      </c>
    </row>
    <row r="78">
      <c r="B78" s="29" t="n">
        <v>1951</v>
      </c>
      <c r="C78" s="31" t="n">
        <v>62</v>
      </c>
      <c r="D78" s="29" t="n">
        <v>166</v>
      </c>
      <c r="E78" s="29" t="n">
        <v>67</v>
      </c>
    </row>
    <row r="79">
      <c r="B79" s="29" t="n">
        <v>1952</v>
      </c>
      <c r="C79" s="31" t="n">
        <v>62</v>
      </c>
      <c r="D79" s="29" t="n">
        <v>166</v>
      </c>
      <c r="E79" s="29" t="n">
        <v>67</v>
      </c>
    </row>
    <row r="80">
      <c r="B80" s="29" t="n">
        <v>1953</v>
      </c>
      <c r="C80" s="31" t="n">
        <v>62</v>
      </c>
      <c r="D80" s="29" t="n">
        <v>166</v>
      </c>
      <c r="E80" s="29" t="n">
        <v>67</v>
      </c>
    </row>
    <row r="81">
      <c r="B81" s="29" t="n">
        <v>1954</v>
      </c>
      <c r="C81" s="31" t="n">
        <v>62</v>
      </c>
      <c r="D81" s="29" t="n">
        <v>166</v>
      </c>
      <c r="E81" s="29" t="n">
        <v>67</v>
      </c>
    </row>
    <row r="82">
      <c r="B82" s="29" t="n">
        <v>1955</v>
      </c>
      <c r="C82" s="31" t="n">
        <v>62</v>
      </c>
      <c r="D82" s="29" t="n">
        <v>166</v>
      </c>
      <c r="E82" s="29" t="n">
        <v>67</v>
      </c>
    </row>
    <row r="83">
      <c r="B83" s="29" t="n">
        <v>1956</v>
      </c>
      <c r="C83" s="31" t="n">
        <v>62</v>
      </c>
      <c r="D83" s="29" t="n">
        <v>166</v>
      </c>
      <c r="E83" s="29" t="n">
        <v>67</v>
      </c>
    </row>
    <row r="84">
      <c r="B84" s="29" t="n">
        <v>1957</v>
      </c>
      <c r="C84" s="31" t="n">
        <v>62</v>
      </c>
      <c r="D84" s="29" t="n">
        <v>166</v>
      </c>
      <c r="E84" s="29" t="n">
        <v>67</v>
      </c>
    </row>
    <row r="85">
      <c r="B85" s="29" t="n">
        <v>1958</v>
      </c>
      <c r="C85" s="31" t="n">
        <v>62</v>
      </c>
      <c r="D85" s="29" t="n">
        <v>167</v>
      </c>
      <c r="E85" s="29" t="n">
        <v>67</v>
      </c>
    </row>
    <row r="86">
      <c r="B86" s="29" t="n">
        <v>1959</v>
      </c>
      <c r="C86" s="31" t="n">
        <v>62</v>
      </c>
      <c r="D86" s="29" t="n">
        <v>167</v>
      </c>
      <c r="E86" s="29" t="n">
        <v>67</v>
      </c>
    </row>
    <row r="87">
      <c r="B87" s="29" t="n">
        <v>1960</v>
      </c>
      <c r="C87" s="31" t="n">
        <v>62</v>
      </c>
      <c r="D87" s="29" t="n">
        <v>167</v>
      </c>
      <c r="E87" s="29" t="n">
        <v>67</v>
      </c>
    </row>
    <row r="88">
      <c r="B88" s="29" t="n">
        <v>1961</v>
      </c>
      <c r="C88" s="31" t="n">
        <v>62.25</v>
      </c>
      <c r="D88" s="29" t="n">
        <v>169</v>
      </c>
      <c r="E88" s="29" t="n">
        <v>67</v>
      </c>
    </row>
    <row r="89">
      <c r="B89" s="29" t="n">
        <v>1962</v>
      </c>
      <c r="C89" s="31" t="n">
        <v>62.5</v>
      </c>
      <c r="D89" s="29" t="n">
        <v>169</v>
      </c>
      <c r="E89" s="29" t="n">
        <v>67</v>
      </c>
    </row>
    <row r="90">
      <c r="B90" s="29" t="n">
        <v>1963</v>
      </c>
      <c r="C90" s="31" t="n">
        <v>62.75</v>
      </c>
      <c r="D90" s="29" t="n">
        <v>170</v>
      </c>
      <c r="E90" s="29" t="n">
        <v>67</v>
      </c>
    </row>
    <row r="91">
      <c r="B91" s="29" t="n">
        <v>1964</v>
      </c>
      <c r="C91" s="31" t="n">
        <v>63</v>
      </c>
      <c r="D91" s="29" t="n">
        <v>171</v>
      </c>
      <c r="E91" s="29" t="n">
        <v>67</v>
      </c>
    </row>
    <row r="92">
      <c r="B92" s="29" t="n">
        <v>1965</v>
      </c>
      <c r="C92" s="31" t="n">
        <v>63.25</v>
      </c>
      <c r="D92" s="29" t="n">
        <v>172</v>
      </c>
      <c r="E92" s="29" t="n">
        <v>67</v>
      </c>
    </row>
    <row r="93">
      <c r="B93" s="29" t="n">
        <v>1966</v>
      </c>
      <c r="C93" s="31" t="n">
        <v>63.5</v>
      </c>
      <c r="D93" s="29" t="n">
        <v>172</v>
      </c>
      <c r="E93" s="29" t="n">
        <v>67</v>
      </c>
    </row>
    <row r="94">
      <c r="B94" s="29" t="n">
        <v>1967</v>
      </c>
      <c r="C94" s="31" t="n">
        <v>63.75</v>
      </c>
      <c r="D94" s="29" t="n">
        <v>172</v>
      </c>
      <c r="E94" s="29" t="n">
        <v>67</v>
      </c>
    </row>
    <row r="95">
      <c r="B95" s="29" t="n">
        <v>1968</v>
      </c>
      <c r="C95" s="31" t="n">
        <v>64</v>
      </c>
      <c r="D95" s="29" t="n">
        <v>172</v>
      </c>
      <c r="E95" s="29" t="n">
        <v>67</v>
      </c>
    </row>
    <row r="96">
      <c r="B96" s="29" t="n">
        <v>1969</v>
      </c>
      <c r="C96" s="31" t="n">
        <v>64</v>
      </c>
      <c r="D96" s="29" t="n">
        <v>172</v>
      </c>
      <c r="E96" s="29" t="n">
        <v>67</v>
      </c>
    </row>
    <row r="97">
      <c r="B97" s="29" t="n">
        <v>1970</v>
      </c>
      <c r="C97" s="31" t="n">
        <v>64</v>
      </c>
      <c r="D97" s="29" t="n">
        <v>172</v>
      </c>
      <c r="E97" s="29" t="n">
        <v>67</v>
      </c>
    </row>
    <row r="98">
      <c r="B98" s="29" t="n">
        <v>1971</v>
      </c>
      <c r="C98" s="31" t="n">
        <v>64</v>
      </c>
      <c r="D98" s="29" t="n">
        <v>172</v>
      </c>
      <c r="E98" s="29" t="n">
        <v>67</v>
      </c>
    </row>
    <row r="99">
      <c r="B99" s="29" t="n">
        <v>1972</v>
      </c>
      <c r="C99" s="31" t="n">
        <v>64</v>
      </c>
      <c r="D99" s="29" t="n">
        <v>172</v>
      </c>
      <c r="E99" s="29" t="n">
        <v>67</v>
      </c>
    </row>
    <row r="100">
      <c r="B100" s="29" t="n">
        <v>1973</v>
      </c>
      <c r="C100" s="31" t="n">
        <v>64</v>
      </c>
      <c r="D100" s="29" t="n">
        <v>172</v>
      </c>
      <c r="E100" s="29" t="n">
        <v>67</v>
      </c>
    </row>
    <row r="101">
      <c r="B101" s="29" t="n">
        <v>1974</v>
      </c>
      <c r="C101" s="31" t="n">
        <v>64</v>
      </c>
      <c r="D101" s="29" t="n">
        <v>172</v>
      </c>
      <c r="E101" s="29" t="n">
        <v>67</v>
      </c>
    </row>
    <row r="102">
      <c r="B102" s="29" t="n">
        <v>1975</v>
      </c>
      <c r="C102" s="31" t="n">
        <v>64</v>
      </c>
      <c r="D102" s="29" t="n">
        <v>172</v>
      </c>
      <c r="E102" s="29" t="n">
        <v>67</v>
      </c>
    </row>
    <row r="103">
      <c r="B103" s="29" t="n">
        <v>1976</v>
      </c>
      <c r="C103" s="31" t="n">
        <v>64</v>
      </c>
      <c r="D103" s="29" t="n">
        <v>172</v>
      </c>
      <c r="E103" s="29" t="n">
        <v>67</v>
      </c>
    </row>
    <row r="104">
      <c r="B104" s="29" t="n">
        <v>1977</v>
      </c>
      <c r="C104" s="31" t="n">
        <v>64</v>
      </c>
      <c r="D104" s="29" t="n">
        <v>172</v>
      </c>
      <c r="E104" s="29" t="n">
        <v>67</v>
      </c>
    </row>
    <row r="105">
      <c r="B105" s="29" t="n">
        <v>1978</v>
      </c>
      <c r="C105" s="31" t="n">
        <v>64</v>
      </c>
      <c r="D105" s="29" t="n">
        <v>172</v>
      </c>
      <c r="E105" s="29" t="n">
        <v>67</v>
      </c>
    </row>
    <row r="106">
      <c r="B106" s="29" t="n">
        <v>1979</v>
      </c>
      <c r="C106" s="31" t="n">
        <v>64</v>
      </c>
      <c r="D106" s="29" t="n">
        <v>172</v>
      </c>
      <c r="E106" s="29" t="n">
        <v>67</v>
      </c>
    </row>
    <row r="107">
      <c r="B107" s="29" t="n">
        <v>1980</v>
      </c>
      <c r="C107" s="31" t="n">
        <v>64</v>
      </c>
      <c r="D107" s="29" t="n">
        <v>172</v>
      </c>
      <c r="E107" s="29" t="n">
        <v>67</v>
      </c>
    </row>
    <row r="108">
      <c r="B108" s="29" t="n">
        <v>1981</v>
      </c>
      <c r="C108" s="31" t="n">
        <v>64</v>
      </c>
      <c r="D108" s="29" t="n">
        <v>172</v>
      </c>
      <c r="E108" s="29" t="n">
        <v>67</v>
      </c>
    </row>
    <row r="109">
      <c r="B109" s="29" t="n">
        <v>1982</v>
      </c>
      <c r="C109" s="31" t="n">
        <v>64</v>
      </c>
      <c r="D109" s="29" t="n">
        <v>172</v>
      </c>
      <c r="E109" s="29" t="n">
        <v>67</v>
      </c>
    </row>
    <row r="110">
      <c r="B110" s="29" t="n">
        <v>1983</v>
      </c>
      <c r="C110" s="31" t="n">
        <v>64</v>
      </c>
      <c r="D110" s="29" t="n">
        <v>172</v>
      </c>
      <c r="E110" s="29" t="n">
        <v>67</v>
      </c>
    </row>
    <row r="111">
      <c r="B111" s="29" t="n">
        <v>1984</v>
      </c>
      <c r="C111" s="31" t="n">
        <v>64</v>
      </c>
      <c r="D111" s="29" t="n">
        <v>172</v>
      </c>
      <c r="E111" s="29" t="n">
        <v>67</v>
      </c>
    </row>
    <row r="112">
      <c r="B112" s="29" t="n">
        <v>1985</v>
      </c>
      <c r="C112" s="31" t="n">
        <v>64</v>
      </c>
      <c r="D112" s="29" t="n">
        <v>172</v>
      </c>
      <c r="E112" s="29" t="n">
        <v>67</v>
      </c>
    </row>
    <row r="113">
      <c r="B113" s="29" t="n">
        <v>1986</v>
      </c>
      <c r="C113" s="31" t="n">
        <v>64</v>
      </c>
      <c r="D113" s="29" t="n">
        <v>172</v>
      </c>
      <c r="E113" s="29" t="n">
        <v>67</v>
      </c>
    </row>
    <row r="114">
      <c r="B114" s="29" t="n">
        <v>1987</v>
      </c>
      <c r="C114" s="31" t="n">
        <v>64</v>
      </c>
      <c r="D114" s="29" t="n">
        <v>172</v>
      </c>
      <c r="E114" s="29" t="n">
        <v>67</v>
      </c>
    </row>
    <row r="115">
      <c r="B115" s="29" t="n">
        <v>1988</v>
      </c>
      <c r="C115" s="31" t="n">
        <v>64</v>
      </c>
      <c r="D115" s="29" t="n">
        <v>172</v>
      </c>
      <c r="E115" s="29" t="n">
        <v>67</v>
      </c>
    </row>
    <row r="116">
      <c r="B116" s="29" t="n">
        <v>1989</v>
      </c>
      <c r="C116" s="31" t="n">
        <v>64</v>
      </c>
      <c r="D116" s="29" t="n">
        <v>172</v>
      </c>
      <c r="E116" s="29" t="n">
        <v>67</v>
      </c>
    </row>
    <row r="117">
      <c r="B117" s="29" t="n">
        <v>1990</v>
      </c>
      <c r="C117" s="31" t="n">
        <v>64</v>
      </c>
      <c r="D117" s="29" t="n">
        <v>172</v>
      </c>
      <c r="E117" s="29" t="n">
        <v>67</v>
      </c>
    </row>
    <row r="118">
      <c r="B118" s="29" t="n">
        <v>1991</v>
      </c>
      <c r="C118" s="31" t="n">
        <v>64</v>
      </c>
      <c r="D118" s="29" t="n">
        <v>172</v>
      </c>
      <c r="E118" s="29" t="n">
        <v>67</v>
      </c>
    </row>
    <row r="119">
      <c r="B119" s="29" t="n">
        <v>1992</v>
      </c>
      <c r="C119" s="31" t="n">
        <v>64</v>
      </c>
      <c r="D119" s="29" t="n">
        <v>172</v>
      </c>
      <c r="E119" s="29" t="n">
        <v>67</v>
      </c>
    </row>
    <row r="120">
      <c r="B120" s="29" t="n">
        <v>1993</v>
      </c>
      <c r="C120" s="31" t="n">
        <v>64</v>
      </c>
      <c r="D120" s="29" t="n">
        <v>172</v>
      </c>
      <c r="E120" s="29" t="n">
        <v>67</v>
      </c>
    </row>
    <row r="121">
      <c r="B121" s="29" t="n">
        <v>1994</v>
      </c>
      <c r="C121" s="31" t="n">
        <v>64</v>
      </c>
      <c r="D121" s="29" t="n">
        <v>172</v>
      </c>
      <c r="E121" s="29" t="n">
        <v>67</v>
      </c>
    </row>
    <row r="122">
      <c r="B122" s="29" t="n">
        <v>1995</v>
      </c>
      <c r="C122" s="31" t="n">
        <v>64</v>
      </c>
      <c r="D122" s="29" t="n">
        <v>172</v>
      </c>
      <c r="E122" s="29" t="n">
        <v>67</v>
      </c>
    </row>
    <row r="123">
      <c r="B123" s="21" t="inlineStr">
        <is>
          <t>62,25 = 62 ans et 3 mois. Génération 1961 : 62 ans / 168 trimestres pour les personnes nées avant le 1er septembre 1961 — corriger la ligne si besoin.</t>
        </is>
      </c>
    </row>
    <row r="125" ht="20" customHeight="1">
      <c r="A125" s="4" t="inlineStr">
        <is>
          <t>8.  RETRAITE — RÉGIME GÉNÉRAL (CNAV)</t>
        </is>
      </c>
      <c r="B125" s="5" t="n"/>
      <c r="C125" s="5" t="n"/>
      <c r="D125" s="5" t="n"/>
      <c r="E125" s="5" t="n"/>
      <c r="F125" s="5" t="n"/>
    </row>
    <row r="126">
      <c r="B126" s="9" t="inlineStr">
        <is>
          <t>Taux plein de liquidation</t>
        </is>
      </c>
      <c r="C126" s="38" t="n">
        <v>0.5</v>
      </c>
      <c r="E126" s="21" t="inlineStr">
        <is>
          <t>50 % du salaire annuel moyen.</t>
        </is>
      </c>
    </row>
    <row r="127">
      <c r="B127" s="9" t="inlineStr">
        <is>
          <t>Décote par trimestre manquant</t>
        </is>
      </c>
      <c r="C127" s="59" t="n">
        <v>0.0125</v>
      </c>
      <c r="E127" s="21" t="inlineStr">
        <is>
          <t>1,25 point par trimestre, dans la limite de 20 trimestres.</t>
        </is>
      </c>
    </row>
    <row r="128">
      <c r="B128" s="9" t="inlineStr">
        <is>
          <t>Nombre maximal de trimestres de décote</t>
        </is>
      </c>
      <c r="C128" s="29" t="n">
        <v>20</v>
      </c>
      <c r="E128" s="21" t="inlineStr">
        <is>
          <t>Taux plancher : 37,5 %.</t>
        </is>
      </c>
    </row>
    <row r="129">
      <c r="B129" s="9" t="inlineStr">
        <is>
          <t>Surcote par trimestre supplémentaire</t>
        </is>
      </c>
      <c r="C129" s="59" t="n">
        <v>0.0125</v>
      </c>
      <c r="E129" s="21" t="inlineStr">
        <is>
          <t>Trimestres cotisés au-delà de la durée requise ET de l'âge légal.</t>
        </is>
      </c>
    </row>
    <row r="130">
      <c r="B130" s="9" t="inlineStr">
        <is>
          <t>Plafond annuel de la Sécurité sociale (PASS)</t>
        </is>
      </c>
      <c r="C130" s="30" t="n">
        <v>48060</v>
      </c>
      <c r="E130" s="21" t="inlineStr">
        <is>
          <t>Valeur 2026 — à actualiser chaque 1er janvier.</t>
        </is>
      </c>
    </row>
    <row r="131">
      <c r="B131" s="9" t="inlineStr">
        <is>
          <t>PASS de l'année précédente (pour le plafond PER)</t>
        </is>
      </c>
      <c r="C131" s="30" t="n">
        <v>47100</v>
      </c>
      <c r="E131" s="21" t="inlineStr">
        <is>
          <t>Valeur 2025.</t>
        </is>
      </c>
    </row>
    <row r="132">
      <c r="B132" s="9" t="inlineStr">
        <is>
          <t>Nombre d'années retenues pour le salaire annuel moyen</t>
        </is>
      </c>
      <c r="C132" s="29" t="n">
        <v>25</v>
      </c>
      <c r="E132" s="21" t="inlineStr">
        <is>
          <t>25 meilleures années, chacune plafonnée au PASS de l'année considérée.</t>
        </is>
      </c>
    </row>
    <row r="133">
      <c r="B133" s="9" t="inlineStr">
        <is>
          <t>Majoration de pension pour 3 enfants et plus</t>
        </is>
      </c>
      <c r="C133" s="38" t="n">
        <v>0.1</v>
      </c>
      <c r="E133" s="21" t="inlineStr">
        <is>
          <t>Régime de base — majoration imposable.</t>
        </is>
      </c>
    </row>
    <row r="135" ht="20" customHeight="1">
      <c r="A135" s="4" t="inlineStr">
        <is>
          <t>9.  RETRAITE — COMPLÉMENTAIRE AGIRC-ARRCO</t>
        </is>
      </c>
      <c r="B135" s="5" t="n"/>
      <c r="C135" s="5" t="n"/>
      <c r="D135" s="5" t="n"/>
      <c r="E135" s="5" t="n"/>
      <c r="F135" s="5" t="n"/>
    </row>
    <row r="136">
      <c r="B136" s="9" t="inlineStr">
        <is>
          <t>Valeur d'achat du point (salaire de référence)</t>
        </is>
      </c>
      <c r="C136" s="90" t="n">
        <v>20.1877</v>
      </c>
      <c r="E136" s="21" t="inlineStr">
        <is>
          <t>Valeur 2025 — à actualiser sur agirc-arrco.fr.</t>
        </is>
      </c>
    </row>
    <row r="137">
      <c r="B137" s="9" t="inlineStr">
        <is>
          <t>Valeur de service du point</t>
        </is>
      </c>
      <c r="C137" s="90" t="n">
        <v>1.4386</v>
      </c>
      <c r="E137" s="21" t="inlineStr">
        <is>
          <t>Valeur 2025 — à actualiser sur agirc-arrco.fr.</t>
        </is>
      </c>
    </row>
    <row r="138">
      <c r="B138" s="9" t="inlineStr">
        <is>
          <t>Taux de calcul des points — tranche 1 (≤ 1 PASS)</t>
        </is>
      </c>
      <c r="C138" s="59" t="n">
        <v>0.062</v>
      </c>
      <c r="E138" s="21" t="inlineStr">
        <is>
          <t>Taux contractuel. Le taux réellement prélevé est de 7,87 % (taux d'appel de 127 %).</t>
        </is>
      </c>
    </row>
    <row r="139">
      <c r="B139" s="9" t="inlineStr">
        <is>
          <t>Taux de calcul des points — tranche 2 (1 à 8 PASS)</t>
        </is>
      </c>
      <c r="C139" s="59" t="n">
        <v>0.17</v>
      </c>
      <c r="E139" s="21" t="inlineStr">
        <is>
          <t>Taux contractuel. Taux réellement prélevé : 21,59 %.</t>
        </is>
      </c>
    </row>
    <row r="140">
      <c r="B140" s="9" t="inlineStr">
        <is>
          <t>Majoration familiale (3 enfants et plus)</t>
        </is>
      </c>
      <c r="C140" s="38" t="n">
        <v>0.1</v>
      </c>
      <c r="E140" s="21" t="inlineStr">
        <is>
          <t>Sur la pension complémentaire, plafonnée.</t>
        </is>
      </c>
    </row>
    <row r="141">
      <c r="B141" s="9" t="inlineStr">
        <is>
          <t>Plafond annuel de la majoration familiale</t>
        </is>
      </c>
      <c r="C141" s="30" t="n">
        <v>2359</v>
      </c>
      <c r="E141" s="21" t="inlineStr">
        <is>
          <t>Valeur 2025.</t>
        </is>
      </c>
    </row>
    <row r="142">
      <c r="B142" s="9" t="inlineStr">
        <is>
          <t>Appliquer les coefficients majorants de report (1 = oui)</t>
        </is>
      </c>
      <c r="C142" s="29" t="n">
        <v>0</v>
      </c>
      <c r="E142" s="21" t="inlineStr">
        <is>
          <t>Majoration de 10 % / 20 % / 30 % pour un départ décalé de 2 / 3 / 4 ans après le taux plein — avantage TEMPORAIRE (1 an). Désactivé par défaut pour ne pas surestimer la pension. Le coefficient minorant de 10 % est supprimé pour les départs postérieurs au 01/12/2023.</t>
        </is>
      </c>
    </row>
    <row r="144" ht="20" customHeight="1">
      <c r="A144" s="4" t="inlineStr">
        <is>
          <t>10.  PRÉLÈVEMENTS SOCIAUX SUR LES PENSIONS</t>
        </is>
      </c>
      <c r="B144" s="5" t="n"/>
      <c r="C144" s="5" t="n"/>
      <c r="D144" s="5" t="n"/>
      <c r="E144" s="5" t="n"/>
      <c r="F144" s="5" t="n"/>
    </row>
    <row r="145">
      <c r="B145" s="9" t="inlineStr">
        <is>
          <t>CSG (taux normal)</t>
        </is>
      </c>
      <c r="C145" s="59" t="n">
        <v>0.083</v>
      </c>
      <c r="E145" s="21" t="inlineStr">
        <is>
          <t>Taux réduit 3,8 % / taux médian 6,6 % selon le revenu fiscal de référence.</t>
        </is>
      </c>
    </row>
    <row r="146">
      <c r="B146" s="9" t="inlineStr">
        <is>
          <t>CRDS</t>
        </is>
      </c>
      <c r="C146" s="59" t="n">
        <v>0.005</v>
      </c>
      <c r="E146" s="21" t="inlineStr"/>
    </row>
    <row r="147">
      <c r="B147" s="9" t="inlineStr">
        <is>
          <t>CASA</t>
        </is>
      </c>
      <c r="C147" s="59" t="n">
        <v>0.003</v>
      </c>
      <c r="E147" s="21" t="inlineStr">
        <is>
          <t>Contribution additionnelle de solidarité pour l'autonomie.</t>
        </is>
      </c>
    </row>
    <row r="148">
      <c r="B148" s="9" t="inlineStr">
        <is>
          <t>Cotisation maladie sur la retraite complémentaire</t>
        </is>
      </c>
      <c r="C148" s="59" t="n">
        <v>0.01</v>
      </c>
      <c r="E148" s="21" t="inlineStr"/>
    </row>
    <row r="149">
      <c r="B149" s="17" t="inlineStr">
        <is>
          <t>Taux global sur la pension de base</t>
        </is>
      </c>
      <c r="C149" s="91">
        <f>C145+C146+C147</f>
        <v/>
      </c>
    </row>
    <row r="150">
      <c r="B150" s="17" t="inlineStr">
        <is>
          <t>Taux global sur la pension complémentaire</t>
        </is>
      </c>
      <c r="C150" s="91">
        <f>C145+C146+C147+C148</f>
        <v/>
      </c>
    </row>
    <row r="152" ht="20" customHeight="1">
      <c r="A152" s="4" t="inlineStr">
        <is>
          <t>11.  HYPOTHÈSES FINANCIÈRES DE PROJECTION</t>
        </is>
      </c>
      <c r="B152" s="5" t="n"/>
      <c r="C152" s="5" t="n"/>
      <c r="D152" s="5" t="n"/>
      <c r="E152" s="5" t="n"/>
      <c r="F152" s="5" t="n"/>
    </row>
    <row r="153">
      <c r="B153" s="9" t="inlineStr">
        <is>
          <t>Inflation annuelle retenue</t>
        </is>
      </c>
      <c r="C153" s="38" t="n">
        <v>0.02</v>
      </c>
      <c r="E153" s="21" t="inlineStr">
        <is>
          <t>Sert à raisonner en euros constants. Hypothèse de l'utilisateur.</t>
        </is>
      </c>
    </row>
    <row r="154">
      <c r="B154" s="9" t="inlineStr">
        <is>
          <t>Rendement annuel net — phase de constitution</t>
        </is>
      </c>
      <c r="C154" s="38" t="n">
        <v>0.04</v>
      </c>
      <c r="E154" s="21" t="inlineStr">
        <is>
          <t>Net de frais de gestion, brut de fiscalité. Hypothèse de l'utilisateur — non contractuel.</t>
        </is>
      </c>
    </row>
    <row r="155">
      <c r="B155" s="9" t="inlineStr">
        <is>
          <t>Rendement annuel net — phase de restitution</t>
        </is>
      </c>
      <c r="C155" s="38" t="n">
        <v>0.025</v>
      </c>
      <c r="E155" s="21" t="inlineStr">
        <is>
          <t>Allocation prudente une fois à la retraite. Hypothèse de l'utilisateur.</t>
        </is>
      </c>
    </row>
    <row r="156">
      <c r="B156" s="9" t="inlineStr">
        <is>
          <t>Progression annuelle des salaires</t>
        </is>
      </c>
      <c r="C156" s="38" t="n">
        <v>0.015</v>
      </c>
      <c r="E156" s="21" t="inlineStr">
        <is>
          <t>Hypothèse de l'utilisateur.</t>
        </is>
      </c>
    </row>
    <row r="157">
      <c r="B157" s="9" t="inlineStr">
        <is>
          <t>Âge retenu pour la fin du besoin de revenu</t>
        </is>
      </c>
      <c r="C157" s="29" t="n">
        <v>92</v>
      </c>
      <c r="E157" s="21" t="inlineStr">
        <is>
          <t>Prudence : au-delà de l'espérance de vie moyenne. Hypothèse de l'utilisateur.</t>
        </is>
      </c>
    </row>
    <row r="158">
      <c r="B158" s="9" t="inlineStr">
        <is>
          <t>Taux de conversion en rente viagère</t>
        </is>
      </c>
      <c r="C158" s="38" t="n">
        <v>0.04</v>
      </c>
      <c r="E158" s="21" t="inlineStr">
        <is>
          <t>Ordre de grandeur d'une rente immédiate à 64-65 ans, sans réversion. À confirmer auprès de l'assureur.</t>
        </is>
      </c>
    </row>
    <row r="159">
      <c r="B159" s="9" t="inlineStr">
        <is>
          <t>Coefficient de passage salaire actuel → SAM</t>
        </is>
      </c>
      <c r="C159" s="38" t="n">
        <v>0.85</v>
      </c>
      <c r="E159" s="21" t="inlineStr">
        <is>
          <t>Les 25 meilleures années sont en moyenne inférieures au dernier salaire. Hypothèse d'approximation — à remplacer par le SAM du relevé de carrière dès que possible.</t>
        </is>
      </c>
    </row>
    <row r="161" ht="20" customHeight="1">
      <c r="A161" s="4" t="inlineStr">
        <is>
          <t>12.  PLAFOND DE DÉDUCTION DU PLAN D'ÉPARGNE RETRAITE (PER)</t>
        </is>
      </c>
      <c r="B161" s="5" t="n"/>
      <c r="C161" s="5" t="n"/>
      <c r="D161" s="5" t="n"/>
      <c r="E161" s="5" t="n"/>
      <c r="F161" s="5" t="n"/>
    </row>
    <row r="162">
      <c r="B162" s="9" t="inlineStr">
        <is>
          <t>Taux de déduction des revenus professionnels</t>
        </is>
      </c>
      <c r="C162" s="38" t="n">
        <v>0.1</v>
      </c>
      <c r="E162" s="21" t="inlineStr">
        <is>
          <t>Art. 163 quatervicies CGI — salariés.</t>
        </is>
      </c>
    </row>
    <row r="163">
      <c r="B163" s="9" t="inlineStr">
        <is>
          <t>Plafond exprimé en PASS N-1</t>
        </is>
      </c>
      <c r="C163" s="29" t="n">
        <v>8</v>
      </c>
      <c r="E163" s="21" t="inlineStr">
        <is>
          <t>10 % de 8 PASS N-1.</t>
        </is>
      </c>
    </row>
    <row r="164">
      <c r="B164" s="9" t="inlineStr">
        <is>
          <t>Plancher exprimé en PASS N-1</t>
        </is>
      </c>
      <c r="C164" s="38" t="n">
        <v>0.1</v>
      </c>
      <c r="E164" s="21" t="inlineStr">
        <is>
          <t>10 % du PASS N-1.</t>
        </is>
      </c>
    </row>
    <row r="165">
      <c r="B165" s="9" t="inlineStr">
        <is>
          <t>Prélèvement forfaitaire unique (PFU)</t>
        </is>
      </c>
      <c r="C165" s="38" t="n">
        <v>0.3</v>
      </c>
      <c r="E165" s="21" t="inlineStr">
        <is>
          <t>12,8 % IR + 17,2 % prélèvements sociaux.</t>
        </is>
      </c>
    </row>
    <row r="166">
      <c r="B166" s="9" t="inlineStr">
        <is>
          <t>Prélèvements sociaux sur les produits de placement</t>
        </is>
      </c>
      <c r="C166" s="59" t="n">
        <v>0.172</v>
      </c>
      <c r="E166" s="21" t="inlineStr"/>
    </row>
    <row r="167">
      <c r="B167" s="9" t="inlineStr">
        <is>
          <t>Taux réduit assurance-vie après 8 ans (≤ 150 k€ de primes)</t>
        </is>
      </c>
      <c r="C167" s="59" t="n">
        <v>0.075</v>
      </c>
      <c r="E167" s="21" t="inlineStr">
        <is>
          <t>Hors prélèvements sociaux, après abattement annuel de 4 600 € / 9 200 €.</t>
        </is>
      </c>
    </row>
    <row r="168">
      <c r="B168" s="9" t="inlineStr">
        <is>
          <t>Abattement annuel assurance-vie après 8 ans (couple)</t>
        </is>
      </c>
      <c r="C168" s="30" t="n">
        <v>9200</v>
      </c>
      <c r="E168" s="21" t="inlineStr">
        <is>
          <t>4 600 € pour une personne seule.</t>
        </is>
      </c>
    </row>
  </sheetData>
  <printOptions horizontalCentered="1"/>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Simulateur patrimonial</dc:creator>
  <dc:title>Simulateur patrimonial — Succession &amp; Retraite</dc:title>
  <dc:subject>Aide à l'entretien patrimonial : dévolution, droits de succession, retraite</dc:subject>
  <dcterms:created xsi:type="dcterms:W3CDTF">2026-09-11T09:12:45Z</dcterms:created>
  <dcterms:modified xsi:type="dcterms:W3CDTF">2026-09-11T09:12:45Z</dcterms:modified>
</cp:coreProperties>
</file>